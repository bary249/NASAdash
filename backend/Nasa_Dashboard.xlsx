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Zion/Documents/Consulting/Venn/Dashboard/"/>
    </mc:Choice>
  </mc:AlternateContent>
  <xr:revisionPtr revIDLastSave="0" documentId="8_{A2B6E1D7-1E40-734D-A1D1-8B2BFB4A7E74}" xr6:coauthVersionLast="47" xr6:coauthVersionMax="47" xr10:uidLastSave="{00000000-0000-0000-0000-000000000000}"/>
  <bookViews>
    <workbookView xWindow="-38400" yWindow="500" windowWidth="38400" windowHeight="21100" xr2:uid="{0B51818E-AEF6-7945-8CEB-50F8A2874576}"/>
  </bookViews>
  <sheets>
    <sheet name="NASA Dashboar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key1" hidden="1">'[1]Inc &amp; Exp Assump (1)'!#REF!</definedName>
    <definedName name="___key2" hidden="1">'[1]Inc &amp; Exp Assump (1)'!#REF!</definedName>
    <definedName name="__123Graph_D" hidden="1">[2]DETAIL!$E$4:$E$69</definedName>
    <definedName name="__123Graph_E" hidden="1">[2]DETAIL!$F$4:$F$69</definedName>
    <definedName name="__FDS_HYPERLINK_TOGGLE_STATE__" hidden="1">"ON"</definedName>
    <definedName name="__key1" hidden="1">'[1]Inc &amp; Exp Assump (1)'!#REF!</definedName>
    <definedName name="__key2" hidden="1">'[1]Inc &amp; Exp Assump (1)'!#REF!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ist_Bin" hidden="1">#REF!</definedName>
    <definedName name="_Dist_Values" hidden="1">#REF!</definedName>
    <definedName name="_Fill" hidden="1">#REF!</definedName>
    <definedName name="_fill2" hidden="1">#REF!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Key1" hidden="1">#REF!</definedName>
    <definedName name="_Key2" hidden="1">'[4]Inc &amp; Exp Assump (1)'!#REF!</definedName>
    <definedName name="_Order1" hidden="1">0</definedName>
    <definedName name="_Order2" hidden="1">255</definedName>
    <definedName name="_Sort" hidden="1">#REF!</definedName>
    <definedName name="_Table1_In1" hidden="1">[2]DETAIL!$J$15</definedName>
    <definedName name="_Table2_In1" hidden="1">[2]DETAIL!$J$15</definedName>
    <definedName name="_Table2_In2" hidden="1">[2]DETAIL!$K$15</definedName>
    <definedName name="_Table2_Out" hidden="1">#REF!</definedName>
    <definedName name="a_Key1" hidden="1">'[5]A Inc &amp; Exp'!#REF!</definedName>
    <definedName name="a_Key2" hidden="1">'[5]A Inc &amp; Exp'!#REF!</definedName>
    <definedName name="aaa" hidden="1">{"4th. Dist CF",#N/A,FALSE,"Hungary - 4th dist.";"4th dist inputs",#N/A,FALSE,"Hungary - 4th dist."}</definedName>
    <definedName name="AcqLoanPeriod">'[6]UW - Apt'!$I$26</definedName>
    <definedName name="AcqLoanRate">'[6]UW - Apt'!$I$28</definedName>
    <definedName name="AcquisitionLoanAmt">'[6]UW - Apt'!$I$25</definedName>
    <definedName name="ahat" hidden="1">#REF!</definedName>
    <definedName name="AllTables">{1}</definedName>
    <definedName name="alltables2">{8}</definedName>
    <definedName name="anscount" hidden="1">1</definedName>
    <definedName name="avi" hidden="1">{"Gyor CF",#N/A,FALSE,"Hungary - Gyor";"Gyor inputs",#N/A,FALSE,"Hungary - Gyor"}</definedName>
    <definedName name="b_Key1" hidden="1">'[5]B Inc &amp; Exp'!#REF!</definedName>
    <definedName name="b_Key2" hidden="1">'[5]B Inc &amp; Exp'!#REF!</definedName>
    <definedName name="bbb" hidden="1">{"4th. Dist CF",#N/A,FALSE,"Hungary - 4th dist.";"4th dist inputs",#N/A,FALSE,"Hungary - 4th dist."}</definedName>
    <definedName name="CGI_Property_Names">'[7]RE &amp; Loan Schedules'!$D$6:$D$61</definedName>
    <definedName name="CGIEscrow">'[6]Project Costs'!#REF!</definedName>
    <definedName name="ConstDrawRate">'[6]UW - Apt'!$J$34</definedName>
    <definedName name="ConstLoanHardCode">'[6]UW - Apt'!$J$30</definedName>
    <definedName name="ConstLoanPeriod">'[6]UW - Apt'!$I$31</definedName>
    <definedName name="ConstLoanRate">'[6]UW - Apt'!$I$33</definedName>
    <definedName name="construction" hidden="1">{"Construction Costs",#N/A,FALSE,"Total Costs"}</definedName>
    <definedName name="CostCalcType">'[6]UW - Apt'!$BB$12:$BB$13</definedName>
    <definedName name="Cottage" hidden="1">{"cot1",#N/A,FALSE,"Cottages";"cot2",#N/A,FALSE,"Cottages";"cot3",#N/A,FALSE,"Cottages"}</definedName>
    <definedName name="DATA_01" hidden="1">#REF!</definedName>
    <definedName name="DensityBonusPercent">'[6]UW - Apt'!$BC$15:$BJ$15</definedName>
    <definedName name="eeee" hidden="1">{"Gyor CF",#N/A,FALSE,"Hungary - Gyor";"Gyor inputs",#N/A,FALSE,"Hungary - Gyor"}</definedName>
    <definedName name="Entity">'[8]Loan Questionnaire'!$AV$108,'[8]Loan Questionnaire'!$AM$108,'[8]Loan Questionnaire'!$AA$108,'[8]Loan Questionnaire'!$T$108,'[8]Loan Questionnaire'!$L$108</definedName>
    <definedName name="fds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ields">[9]Lookups!$B$1:$H$1</definedName>
    <definedName name="filler" hidden="1">{"Annual Cash Flows",#N/A,FALSE,"Annual Summary"}</definedName>
    <definedName name="filler2" hidden="1">{"Assumptions",#N/A,FALSE,"Assumptions"}</definedName>
    <definedName name="filler3" hidden="1">{"Construction Costs",#N/A,FALSE,"Total Costs"}</definedName>
    <definedName name="gygyg" hidden="1">{"Barandov CF",#N/A,FALSE,"Czech - Barandov";"Barandov inputs",#N/A,FALSE,"Czech - Barandov"}</definedName>
    <definedName name="Hilgard_1Bed_Unit_Numbers">[3]Calendar!$I$7:$I$40,[3]Calendar!$I$49:$I$66</definedName>
    <definedName name="Hilgard_Traffic_Sources">'[10]Status Report'!$P$12:$P$21</definedName>
    <definedName name="Hilgard_Unit_Number_List">[3]Calendar!$I$7:$I$66</definedName>
    <definedName name="iiii" hidden="1">{"Skala CF",#N/A,FALSE,"Hungary - 3rd dist. Skala";"Skala inputs",#N/A,FALSE,"Hungary - 3rd dist. Skala"}</definedName>
    <definedName name="IntroPrintArea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40694.4110185184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39127.4225810185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LandPurchasePrice">'[6]UW - Apt'!$C$21</definedName>
    <definedName name="lank" hidden="1">[11]ASSETS!#REF!</definedName>
    <definedName name="ListOfFurnUnfurnStatus">'[10]Current Year'!$D$7:$D$66</definedName>
    <definedName name="Lookups">[9]Lookups!$B$1:$L$160</definedName>
    <definedName name="MConstIO">'[6]UW - Apt'!$BC$28:$BC$36</definedName>
    <definedName name="Mcumulative">[12]Waterfall!$BD$6:$BD$7</definedName>
    <definedName name="MEscrowOptions">'[6]Project Costs'!#REF!</definedName>
    <definedName name="mmfirstio">'[12]Assumptions &amp; Projections'!$AR$6:$AR$15</definedName>
    <definedName name="mmmm" hidden="1">{"Zabki CF",#N/A,FALSE,"Poland - Warsaw Zabki";"Zabki inputs",#N/A,FALSE,"Poland - Warsaw Zabki"}</definedName>
    <definedName name="mmmsecondio">'[12]Assumptions &amp; Projections'!$AS$6:$AS$15</definedName>
    <definedName name="MPermIO">'[6]UW - Apt'!$BD$28:$BD$36</definedName>
    <definedName name="mRefiYear">'[6]UW - Apt'!$BB$28:$BB$35</definedName>
    <definedName name="Mrefiyears">'[12]Assumptions &amp; Projections'!$AQ$7:$AQ$15</definedName>
    <definedName name="Name1" hidden="1">{"cot1",#N/A,FALSE,"Cottages";"cot2",#N/A,FALSE,"Cottages";"cot3",#N/A,FALSE,"Cottages"}</definedName>
    <definedName name="newrange" hidden="1">{"Annual Cash Flows",#N/A,FALSE,"Annual Summary"}</definedName>
    <definedName name="NvsASD">"V2011-12-31"</definedName>
    <definedName name="NvsAutoDrillOk">"VN"</definedName>
    <definedName name="NvsElapsedTime">0.0000578703693463467</definedName>
    <definedName name="NvsEndTime">40920.3588657407</definedName>
    <definedName name="NvsInstLang">"VENG"</definedName>
    <definedName name="NvsInstSpec">"%,FDEPTID,V ,FOPERATING_UNIT,VCA149"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"V1900-01-01"</definedName>
    <definedName name="NvsPanelSetid">"V04000"</definedName>
    <definedName name="NvsReqBU">"V04000"</definedName>
    <definedName name="NvsReqBUOnly">"VN"</definedName>
    <definedName name="NvsTransLed">"VN"</definedName>
    <definedName name="NvsTreeASD">"V2011-12-31"</definedName>
    <definedName name="NvsValTbl.ACCOUNT">"GL_ACCOUNT_TBL"</definedName>
    <definedName name="NvsValTbl.ACTIVITY_ID">"PROJ_ACTIVITY"</definedName>
    <definedName name="NvsValTbl.ANALYSIS_TYPE">"PROJ_ANTYPE_TBL"</definedName>
    <definedName name="NvsValTbl.PROJECT_ID">"PROJECT_VW"</definedName>
    <definedName name="NvsValTbl.RESOURCE_CATEGORY">"PROJ_CATG_TBL"</definedName>
    <definedName name="NvsValTbl.STATISTICS_CODE">"STAT_TBL"</definedName>
    <definedName name="pppp" hidden="1">{"Stodulki CF",#N/A,FALSE,"Czech - Stodulki";"Stodulki inputs",#N/A,FALSE,"Czech - Stodulki"}</definedName>
    <definedName name="_xlnm.Print_Area">#REF!</definedName>
    <definedName name="prnt">[13]!prnt</definedName>
    <definedName name="promte" hidden="1">{"Assumptions",#N/A,FALSE,"Assumptions"}</definedName>
    <definedName name="PropertyName">'[9]DATA SHEET'!$C$4</definedName>
    <definedName name="qqqq" hidden="1">{"Barandov CF",#N/A,FALSE,"Czech - Barandov";"Barandov inputs",#N/A,FALSE,"Czech - Barandov"}</definedName>
    <definedName name="sdvads" hidden="1">'[5]B Inc &amp; Exp'!#REF!</definedName>
    <definedName name="uuuu" hidden="1">{"Rasnitz CF",#N/A,FALSE,"Germany - Rasnitz";"Rasnitz inputs",#N/A,FALSE,"Germany - Rasnitz"}</definedName>
    <definedName name="v_Key1" hidden="1">'[5]V Inc &amp; Exp'!#REF!</definedName>
    <definedName name="v_Key2" hidden="1">'[5]V Inc &amp; Exp'!#REF!</definedName>
    <definedName name="WorksheetList">[9]Lookups!$A$1:$A$160</definedName>
    <definedName name="wrn.4th._.dist.." hidden="1">{"4th. Dist CF",#N/A,FALSE,"Hungary - 4th dist.";"4th dist inputs",#N/A,FALSE,"Hungary - 4th dist."}</definedName>
    <definedName name="wrn.all." hidden="1">{#N/A,#N/A,FALSE,"45th floor";#N/A,#N/A,FALSE,"46th floor ";#N/A,#N/A,FALSE,"MARCEAU";#N/A,#N/A,FALSE,"HAUSSMAN";#N/A,#N/A,FALSE,"SERBIE";#N/A,#N/A,FALSE,"BOISSIERE"}</definedName>
    <definedName name="wrn.all2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nnual._.Summary." hidden="1">{"Annual Cash Flows",#N/A,FALSE,"Annual Summary"}</definedName>
    <definedName name="wrn.Assumptions." hidden="1">{"Assumptions",#N/A,FALSE,"Assumptions"}</definedName>
    <definedName name="wrn.Barandov." hidden="1">{"Barandov CF",#N/A,FALSE,"Czech - Barandov";"Barandov inputs",#N/A,FALSE,"Czech - Barandov"}</definedName>
    <definedName name="wrn.bleu4." hidden="1">{#N/A,#N/A,FALSE}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nsolidated." hidden="1">{"Consolidated 100%",#N/A,FALSE,"BV - Consolidation";"Consolidated share",#N/A,FALSE,"BV - Consolidation"}</definedName>
    <definedName name="wrn.Construction._.Costs." hidden="1">{"Construction Costs",#N/A,FALSE,"Total Costs"}</definedName>
    <definedName name="wrn.Cottage._.Summary." hidden="1">{"cot1",#N/A,FALSE,"Cottages";"cot2",#N/A,FALSE,"Cottages";"cot3",#N/A,FALSE,"Cottages"}</definedName>
    <definedName name="wrn.Downside." hidden="1">{"Downside",#N/A,FALSE,"Downside"}</definedName>
    <definedName name="wrn.final." hidden="1">{#N/A,#N/A,FALSE,"45th FINAL ";#N/A,#N/A,FALSE,"46th FINAL 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yor." hidden="1">{"Gyor CF",#N/A,FALSE,"Hungary - Gyor";"Gyor inputs",#N/A,FALSE,"Hungary - Gyor"}</definedName>
    <definedName name="wrn.Investment._.Review." hidden="1">{#N/A,#N/A,FALSE,"Proforma Five Yr";#N/A,#N/A,FALSE,"Capital Input";#N/A,#N/A,FALSE,"Calculations";#N/A,#N/A,FALSE,"Transaction Summary-DTW"}</definedName>
    <definedName name="wrn.Land._.Takedown._.Summary." hidden="1">{"land1",#N/A,FALSE,"Land";"land2",#N/A,FALSE,"Land";"land3",#N/A,FALSE,"Land"}</definedName>
    <definedName name="wrn.Lot._.Inventory." hidden="1">{"lot inventory",#N/A,FALSE,"Lot List"}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Operations._.Review." hidden="1">{#N/A,#N/A,FALSE,"Proforma Five Yr";#N/A,#N/A,FALSE,"Occ and Rate";#N/A,#N/A,FALSE,"PF Input";#N/A,#N/A,FALSE,"Hotcomps"}</definedName>
    <definedName name="wrn.Phase._.I." hidden="1">{#N/A,#N/A,FALSE,"Transaction Summary-DTW";#N/A,#N/A,FALSE,"Proforma Five Yr";#N/A,#N/A,FALSE,"Occ and Rate"}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oforma._.Review." hidden="1">{#N/A,#N/A,FALSE,"Occ and Rate";#N/A,#N/A,FALSE,"PF Input";#N/A,#N/A,FALSE,"Proforma Five Yr";#N/A,#N/A,FALSE,"Hotcomps"}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Rasnitz." hidden="1">{"Rasnitz CF",#N/A,FALSE,"Germany - Rasnitz";"Rasnitz inputs",#N/A,FALSE,"Germany - Rasnitz"}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port." hidden="1">{#N/A,#N/A,FALSE,"Cashflow Analysis";#N/A,#N/A,FALSE,"PV";#N/A,#N/A,FALSE,"Sensitivity Analysis";#N/A,#N/A,FALSE,"Scenario A"}</definedName>
    <definedName name="wrn.report2" hidden="1">{#N/A,#N/A,FALSE,"Loan Summary";#N/A,#N/A,FALSE,"NOI";"RR and Expir",#N/A,FALSE,"Rental";"Sales History",#N/A,FALSE,"Rental";#N/A,#N/A,FALSE,"Reserves"}</definedName>
    <definedName name="wrn.Scenario." hidden="1">{"scen1",#N/A,FALSE,"Scenarios";"scen2",#N/A,FALSE,"Scenarios"}</definedName>
    <definedName name="wrn.Skala." hidden="1">{"Skala CF",#N/A,FALSE,"Hungary - 3rd dist. Skala";"Skala inputs",#N/A,FALSE,"Hungary - 3rd dist. Skala"}</definedName>
    <definedName name="wrn.Stodulki." hidden="1">{"Stodulki CF",#N/A,FALSE,"Czech - Stodulki";"Stodulki inputs",#N/A,FALSE,"Czech - Stodulki"}</definedName>
    <definedName name="wrn.Summary.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Value." hidden="1">{#N/A,#N/A,FALSE,"Cashflow Analysis";#N/A,#N/A,FALSE,"Sensitivity Analysis";#N/A,#N/A,FALSE,"PV";#N/A,#N/A,FALSE,"Scenario B"}</definedName>
    <definedName name="wrn.Vokovice." hidden="1">{"Vokovice CF",#N/A,FALSE,"Czech - Vokovice";"Vokovice inputs",#N/A,FALSE,"Czech - Vokovice"}</definedName>
    <definedName name="wrn.Workbook." hidden="1">{"Consolidated 100%",#N/A,TRUE,"BV - Consolidation";"Consolidated share",#N/A,TRUE,"BV - Consolidation";"Barandov CF",#N/A,TRUE,"Czech - Barandov";"Stodulki CF",#N/A,TRUE,"Czech - Stodulki";"Barandov inputs",#N/A,TRUE,"Czech - Barandov";"Stodulki inputs",#N/A,TRUE,"Czech - Stodulki";"Vokovice CF",#N/A,TRUE,"Czech - Vokovice";"Vokovice inputs",#N/A,TRUE,"Czech - Vokovice";"Rasnitz CF",#N/A,TRUE,"Germany - Rasnitz";"Rasnitz inputs",#N/A,TRUE,"Germany - Rasnitz";"Skala CF",#N/A,TRUE,"Hungary - 3rd dist. Skala";"Skala inputs",#N/A,TRUE,"Hungary - 3rd dist. Skala";"4th. Dist CF",#N/A,TRUE,"Hungary - 4th dist.";"4th dist inputs",#N/A,TRUE,"Hungary - 4th dist.";"Gyor CF",#N/A,TRUE,"Hungary - Gyor";"Gyor inputs",#N/A,TRUE,"Hungary - Gyor";"Zabki CF",#N/A,TRUE,"Poland - Warsaw Zabki";"Zabki inputs",#N/A,TRUE,"Poland - Warsaw Zabki"}</definedName>
    <definedName name="wrn.Zabki." hidden="1">{"Zabki CF",#N/A,FALSE,"Poland - Warsaw Zabki";"Zabki inputs",#N/A,FALSE,"Poland - Warsaw Zabki"}</definedName>
    <definedName name="www" hidden="1">{"Consolidated 100%",#N/A,FALSE,"BV - Consolidation";"Consolidated share",#N/A,FALSE,"BV - Consolidation"}</definedName>
    <definedName name="xxx" hidden="1">{"4th. Dist CF",#N/A,FALSE,"Hungary - 4th dist.";"4th dist inputs",#N/A,FALSE,"Hungary - 4th dist."}</definedName>
    <definedName name="yyyy" hidden="1">{"Vokovice CF",#N/A,FALSE,"Czech - Vokovice";"Vokovice inputs",#N/A,FALSE,"Czech - Vokovice"}</definedName>
    <definedName name="zzzz" hidden="1">{"Consolidated 100%",#N/A,TRUE,"BV - Consolidation";"Consolidated share",#N/A,TRUE,"BV - Consolidation";"Barandov CF",#N/A,TRUE,"Czech - Barandov";"Stodulki CF",#N/A,TRUE,"Czech - Stodulki";"Barandov inputs",#N/A,TRUE,"Czech - Barandov";"Stodulki inputs",#N/A,TRUE,"Czech - Stodulki";"Vokovice CF",#N/A,TRUE,"Czech - Vokovice";"Vokovice inputs",#N/A,TRUE,"Czech - Vokovice";"Rasnitz CF",#N/A,TRUE,"Germany - Rasnitz";"Rasnitz inputs",#N/A,TRUE,"Germany - Rasnitz";"Skala CF",#N/A,TRUE,"Hungary - 3rd dist. Skala";"Skala inputs",#N/A,TRUE,"Hungary - 3rd dist. Skala";"4th. Dist CF",#N/A,TRUE,"Hungary - 4th dist.";"4th dist inputs",#N/A,TRUE,"Hungary - 4th dist.";"Gyor CF",#N/A,TRUE,"Hungary - Gyor";"Gyor inputs",#N/A,TRUE,"Hungary - Gyor";"Zabki CF",#N/A,TRUE,"Poland - Warsaw Zabki";"Zabki inputs",#N/A,TRUE,"Poland - Warsaw Zabki"}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1" l="1"/>
  <c r="R69" i="1"/>
  <c r="I69" i="1"/>
  <c r="I68" i="1"/>
  <c r="I54" i="1"/>
  <c r="H54" i="1"/>
  <c r="N53" i="1"/>
  <c r="P53" i="1" s="1"/>
  <c r="M53" i="1"/>
  <c r="O53" i="1" s="1"/>
  <c r="N52" i="1"/>
  <c r="P52" i="1" s="1"/>
  <c r="M52" i="1"/>
  <c r="O52" i="1" s="1"/>
  <c r="I52" i="1"/>
  <c r="G52" i="1"/>
  <c r="F52" i="1"/>
  <c r="H52" i="1" s="1"/>
  <c r="N51" i="1"/>
  <c r="P51" i="1" s="1"/>
  <c r="M51" i="1"/>
  <c r="O51" i="1" s="1"/>
  <c r="I51" i="1"/>
  <c r="G51" i="1"/>
  <c r="F51" i="1"/>
  <c r="H51" i="1" s="1"/>
  <c r="N50" i="1"/>
  <c r="P50" i="1" s="1"/>
  <c r="M50" i="1"/>
  <c r="O50" i="1" s="1"/>
  <c r="I50" i="1"/>
  <c r="G50" i="1"/>
  <c r="N49" i="1"/>
  <c r="P49" i="1" s="1"/>
  <c r="M49" i="1"/>
  <c r="O49" i="1" s="1"/>
  <c r="F49" i="1"/>
  <c r="H49" i="1" s="1"/>
  <c r="N48" i="1"/>
  <c r="P48" i="1" s="1"/>
  <c r="M48" i="1"/>
  <c r="O48" i="1" s="1"/>
  <c r="I48" i="1"/>
  <c r="H48" i="1"/>
  <c r="P47" i="1"/>
  <c r="O47" i="1"/>
  <c r="N47" i="1"/>
  <c r="M47" i="1"/>
  <c r="I47" i="1"/>
  <c r="O46" i="1"/>
  <c r="N46" i="1"/>
  <c r="P46" i="1" s="1"/>
  <c r="M46" i="1"/>
  <c r="O45" i="1"/>
  <c r="N45" i="1"/>
  <c r="P45" i="1" s="1"/>
  <c r="M45" i="1"/>
  <c r="G45" i="1"/>
  <c r="I45" i="1" s="1"/>
  <c r="O39" i="1"/>
  <c r="Q39" i="1" s="1"/>
  <c r="N39" i="1"/>
  <c r="M39" i="1"/>
  <c r="E39" i="1"/>
  <c r="Q38" i="1"/>
  <c r="P38" i="1"/>
  <c r="Q37" i="1"/>
  <c r="P37" i="1"/>
  <c r="Q36" i="1"/>
  <c r="P36" i="1"/>
  <c r="E35" i="1"/>
  <c r="P32" i="1"/>
  <c r="O32" i="1"/>
  <c r="Q32" i="1" s="1"/>
  <c r="N32" i="1"/>
  <c r="M32" i="1"/>
  <c r="Q31" i="1"/>
  <c r="P31" i="1"/>
  <c r="Q30" i="1"/>
  <c r="P30" i="1"/>
  <c r="I30" i="1"/>
  <c r="H30" i="1"/>
  <c r="G30" i="1"/>
  <c r="Q29" i="1"/>
  <c r="P29" i="1"/>
  <c r="I29" i="1"/>
  <c r="H29" i="1"/>
  <c r="G29" i="1"/>
  <c r="I28" i="1"/>
  <c r="H28" i="1"/>
  <c r="G28" i="1"/>
  <c r="I26" i="1"/>
  <c r="H26" i="1"/>
  <c r="G26" i="1"/>
  <c r="P25" i="1"/>
  <c r="O25" i="1"/>
  <c r="N25" i="1"/>
  <c r="M25" i="1"/>
  <c r="L25" i="1"/>
  <c r="I24" i="1"/>
  <c r="H24" i="1"/>
  <c r="G24" i="1"/>
  <c r="I21" i="1"/>
  <c r="H21" i="1"/>
  <c r="G21" i="1"/>
  <c r="P20" i="1"/>
  <c r="O20" i="1"/>
  <c r="N20" i="1"/>
  <c r="M20" i="1"/>
  <c r="I18" i="1"/>
  <c r="H18" i="1"/>
  <c r="G18" i="1"/>
  <c r="P16" i="1"/>
  <c r="N16" i="1"/>
  <c r="L16" i="1"/>
  <c r="R15" i="1"/>
  <c r="Q15" i="1"/>
  <c r="O15" i="1"/>
  <c r="R14" i="1"/>
  <c r="Q14" i="1"/>
  <c r="O14" i="1"/>
  <c r="I14" i="1"/>
  <c r="H14" i="1"/>
  <c r="G14" i="1"/>
  <c r="R13" i="1"/>
  <c r="Q13" i="1"/>
  <c r="O13" i="1"/>
  <c r="R12" i="1"/>
  <c r="Q12" i="1"/>
  <c r="O12" i="1"/>
  <c r="R11" i="1"/>
  <c r="Q11" i="1"/>
  <c r="O11" i="1"/>
  <c r="R10" i="1"/>
  <c r="Q10" i="1"/>
  <c r="O10" i="1"/>
  <c r="R9" i="1"/>
  <c r="Q9" i="1"/>
  <c r="O9" i="1"/>
  <c r="R8" i="1"/>
  <c r="Q8" i="1"/>
  <c r="O8" i="1"/>
  <c r="G89" i="1" l="1"/>
  <c r="F80" i="1"/>
  <c r="F45" i="1"/>
  <c r="F47" i="1"/>
  <c r="G46" i="1"/>
  <c r="I46" i="1" s="1"/>
  <c r="R16" i="1"/>
  <c r="M16" i="1"/>
  <c r="Q16" i="1" s="1"/>
  <c r="M62" i="1"/>
  <c r="M63" i="1" s="1"/>
  <c r="M65" i="1"/>
  <c r="P39" i="1"/>
  <c r="G49" i="1"/>
  <c r="F89" i="1"/>
  <c r="F66" i="1" l="1"/>
  <c r="M66" i="1"/>
  <c r="G53" i="1"/>
  <c r="I49" i="1"/>
  <c r="O16" i="1"/>
  <c r="F81" i="1"/>
  <c r="G81" i="1" s="1"/>
  <c r="H81" i="1" s="1"/>
  <c r="G80" i="1"/>
  <c r="H80" i="1" s="1"/>
  <c r="F85" i="1"/>
  <c r="G85" i="1" s="1"/>
  <c r="H85" i="1" s="1"/>
  <c r="H47" i="1"/>
  <c r="F46" i="1"/>
  <c r="M64" i="1"/>
  <c r="F50" i="1"/>
  <c r="H45" i="1"/>
  <c r="H46" i="1" l="1"/>
  <c r="F82" i="1"/>
  <c r="G82" i="1" s="1"/>
  <c r="H82" i="1" s="1"/>
  <c r="G55" i="1"/>
  <c r="I53" i="1"/>
  <c r="I55" i="1" s="1"/>
  <c r="H50" i="1"/>
  <c r="F84" i="1"/>
  <c r="G84" i="1" s="1"/>
  <c r="H84" i="1" s="1"/>
  <c r="F53" i="1"/>
  <c r="F83" i="1"/>
  <c r="G83" i="1" s="1"/>
  <c r="H83" i="1" s="1"/>
  <c r="M67" i="1"/>
  <c r="H53" i="1" l="1"/>
  <c r="H55" i="1" s="1"/>
  <c r="F55" i="1"/>
  <c r="N54" i="1"/>
  <c r="P54" i="1" l="1"/>
  <c r="P55" i="1" s="1"/>
  <c r="N55" i="1"/>
  <c r="F79" i="1"/>
  <c r="G79" i="1" s="1"/>
  <c r="H79" i="1" s="1"/>
  <c r="M54" i="1"/>
  <c r="O54" i="1" l="1"/>
  <c r="M55" i="1"/>
  <c r="F90" i="1"/>
  <c r="N56" i="1"/>
  <c r="N57" i="1"/>
  <c r="G97" i="1" s="1"/>
  <c r="G98" i="1" s="1"/>
  <c r="P56" i="1"/>
  <c r="P57" i="1"/>
  <c r="F88" i="1" l="1"/>
  <c r="M56" i="1"/>
  <c r="M57" i="1"/>
  <c r="G90" i="1"/>
  <c r="O55" i="1"/>
  <c r="G88" i="1" l="1"/>
  <c r="O56" i="1"/>
  <c r="O57" i="1"/>
  <c r="P73" i="1"/>
  <c r="M73" i="1"/>
  <c r="I66" i="1" s="1"/>
  <c r="P71" i="1"/>
  <c r="P72" i="1"/>
  <c r="I62" i="1"/>
  <c r="I71" i="1" s="1"/>
  <c r="F97" i="1"/>
  <c r="F98" i="1" s="1"/>
  <c r="I64" i="1"/>
  <c r="I73" i="1" s="1"/>
  <c r="R63" i="1" l="1"/>
  <c r="R65" i="1" s="1"/>
  <c r="R66" i="1" s="1"/>
  <c r="R68" i="1"/>
  <c r="R64" i="1"/>
  <c r="R67" i="1"/>
  <c r="I63" i="1"/>
  <c r="H97" i="1"/>
  <c r="H98" i="1" s="1"/>
  <c r="I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37" authorId="0" shapeId="0" xr:uid="{DCFDBC5B-9DA4-734B-96E2-927C1D61587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balance of units under eviction</t>
        </r>
      </text>
    </comment>
    <comment ref="F37" authorId="0" shapeId="0" xr:uid="{3C81BFC0-A010-F54E-A6F0-60F6894650C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Total # of units under eviction
</t>
        </r>
      </text>
    </comment>
    <comment ref="G37" authorId="0" shapeId="0" xr:uid="{4A2E8D98-3EBE-034A-B5E3-CBE4E5044D5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units that we filed for eviction</t>
        </r>
      </text>
    </comment>
    <comment ref="H37" authorId="0" shapeId="0" xr:uid="{49897623-BBDB-1F4C-A3D2-28CA7E786E7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units under eviction for which a formal court order was issued</t>
        </r>
      </text>
    </comment>
  </commentList>
</comments>
</file>

<file path=xl/sharedStrings.xml><?xml version="1.0" encoding="utf-8"?>
<sst xmlns="http://schemas.openxmlformats.org/spreadsheetml/2006/main" count="353" uniqueCount="294">
  <si>
    <t>Owners Dashboard</t>
  </si>
  <si>
    <t>Occupancy &amp; Leasing</t>
  </si>
  <si>
    <t xml:space="preserve">Unit Pricing </t>
  </si>
  <si>
    <t>Explanation</t>
  </si>
  <si>
    <t>Current Month</t>
  </si>
  <si>
    <t>Previous Month</t>
  </si>
  <si>
    <t>YTD</t>
  </si>
  <si>
    <t>Unit Mix</t>
  </si>
  <si>
    <t>In Place Effective Rent</t>
  </si>
  <si>
    <t>Asking Effective Rent</t>
  </si>
  <si>
    <t>Rent Growth</t>
  </si>
  <si>
    <t>Matric</t>
  </si>
  <si>
    <t>Unit Type</t>
  </si>
  <si>
    <t>Units</t>
  </si>
  <si>
    <t>SF</t>
  </si>
  <si>
    <t xml:space="preserve">Total </t>
  </si>
  <si>
    <t>Rent/SF</t>
  </si>
  <si>
    <t>Asking/in-Place</t>
  </si>
  <si>
    <t>Current Physical Occupancy</t>
  </si>
  <si>
    <t xml:space="preserve">Physical Occupancy </t>
  </si>
  <si>
    <t>SA</t>
  </si>
  <si>
    <t>Current Ocuupancy + Signed Leases</t>
  </si>
  <si>
    <t>Leased Percentage</t>
  </si>
  <si>
    <t>SB</t>
  </si>
  <si>
    <t>A+notices in the next 30 days</t>
  </si>
  <si>
    <t>Exposure (30 days)</t>
  </si>
  <si>
    <t>1+1A</t>
  </si>
  <si>
    <t>A+notices in the next 60 days</t>
  </si>
  <si>
    <t>Exposure (60 days)</t>
  </si>
  <si>
    <t>1+1B</t>
  </si>
  <si>
    <t>Vacant units that are move-in ready</t>
  </si>
  <si>
    <t xml:space="preserve">Vacant Ready </t>
  </si>
  <si>
    <t>2+1A</t>
  </si>
  <si>
    <t>Vacant units that are not move-in ready</t>
  </si>
  <si>
    <t xml:space="preserve">Vacant not Ready </t>
  </si>
  <si>
    <t>2+2A</t>
  </si>
  <si>
    <t xml:space="preserve">Total vacant units </t>
  </si>
  <si>
    <t>Total Vacant Units</t>
  </si>
  <si>
    <t>3+2A</t>
  </si>
  <si>
    <t># of units that are vacant for more than 90 days</t>
  </si>
  <si>
    <t>Vacant &gt; 90 Days</t>
  </si>
  <si>
    <t>3+2B</t>
  </si>
  <si>
    <t>Total Expirations this month</t>
  </si>
  <si>
    <t xml:space="preserve">Expiration </t>
  </si>
  <si>
    <t>Total renewals this month</t>
  </si>
  <si>
    <t xml:space="preserve">Renewal </t>
  </si>
  <si>
    <t>Formula</t>
  </si>
  <si>
    <t>Renewal Percentage</t>
  </si>
  <si>
    <t>Market Comps</t>
  </si>
  <si>
    <t>Total move-outs this month (already moved out + scheduled move-outs)</t>
  </si>
  <si>
    <t>Move-out</t>
  </si>
  <si>
    <t xml:space="preserve">Property </t>
  </si>
  <si>
    <t># of Units</t>
  </si>
  <si>
    <t>Studio</t>
  </si>
  <si>
    <t>1 Bedroom</t>
  </si>
  <si>
    <t>2 Bedroom</t>
  </si>
  <si>
    <t>3 Bedroom</t>
  </si>
  <si>
    <t>Notes</t>
  </si>
  <si>
    <t>Same logic as move out</t>
  </si>
  <si>
    <t>Move-In</t>
  </si>
  <si>
    <t xml:space="preserve">Subject </t>
  </si>
  <si>
    <t>Net Move in</t>
  </si>
  <si>
    <t>Property 1</t>
  </si>
  <si>
    <t>Total incoming leads MTD and YTD</t>
  </si>
  <si>
    <t>Leads</t>
  </si>
  <si>
    <t>Property 2</t>
  </si>
  <si>
    <t>All physical and virtual tours MTD and YTD</t>
  </si>
  <si>
    <t>Tours</t>
  </si>
  <si>
    <t>Property 3</t>
  </si>
  <si>
    <t>Lead/Tour conversion</t>
  </si>
  <si>
    <t>Property 4</t>
  </si>
  <si>
    <t>Total applications sumbitted MTD and YTD</t>
  </si>
  <si>
    <t xml:space="preserve">Applications </t>
  </si>
  <si>
    <t>Tour/Application conversion</t>
  </si>
  <si>
    <t>Total leases signed this month</t>
  </si>
  <si>
    <t>Leases</t>
  </si>
  <si>
    <t>Lease Trade out</t>
  </si>
  <si>
    <t>New Lease</t>
  </si>
  <si>
    <t>Prior Lease</t>
  </si>
  <si>
    <t>Lease/lead Conversion</t>
  </si>
  <si>
    <t>Unit #</t>
  </si>
  <si>
    <t>Effective Rent</t>
  </si>
  <si>
    <t>% Change</t>
  </si>
  <si>
    <t>$ Change</t>
  </si>
  <si>
    <t>Move-in Date</t>
  </si>
  <si>
    <t>Lease/Tour Conversion</t>
  </si>
  <si>
    <t>Lease/Application Conversion</t>
  </si>
  <si>
    <t>Delinquencies &amp; Evictions</t>
  </si>
  <si>
    <t>Total Deliquencies</t>
  </si>
  <si>
    <t>0-30</t>
  </si>
  <si>
    <t>31-60</t>
  </si>
  <si>
    <t>61-90</t>
  </si>
  <si>
    <t>90 Days+</t>
  </si>
  <si>
    <t>Renewals</t>
  </si>
  <si>
    <t>Taken directly from the A/R report (charges with transaction dates X days prior to today)</t>
  </si>
  <si>
    <t>Total Evictions (Balance)</t>
  </si>
  <si>
    <t>Filed</t>
  </si>
  <si>
    <t>Writ</t>
  </si>
  <si>
    <t>See specific notes</t>
  </si>
  <si>
    <t>Total Collections (Post Eviction)</t>
  </si>
  <si>
    <t>Same logic as delinquencies but count stats from when they officially moved to eviction status</t>
  </si>
  <si>
    <t xml:space="preserve">Profit &amp; Loss - Budget Vs. Actual </t>
  </si>
  <si>
    <t>Income</t>
  </si>
  <si>
    <t xml:space="preserve">Monthly </t>
  </si>
  <si>
    <t>Expenses</t>
  </si>
  <si>
    <t xml:space="preserve">Actual </t>
  </si>
  <si>
    <t>Budget</t>
  </si>
  <si>
    <t>Gross Potenital Rent</t>
  </si>
  <si>
    <t>Payroll</t>
  </si>
  <si>
    <t>Loss to Lease</t>
  </si>
  <si>
    <t>Marketing</t>
  </si>
  <si>
    <t>Total Gross Potential Rent</t>
  </si>
  <si>
    <t>G&amp;A</t>
  </si>
  <si>
    <t>Model/Employee Unit</t>
  </si>
  <si>
    <t>Services</t>
  </si>
  <si>
    <t>Concession</t>
  </si>
  <si>
    <t>R&amp;M</t>
  </si>
  <si>
    <t xml:space="preserve">Vacancy </t>
  </si>
  <si>
    <t>T/O</t>
  </si>
  <si>
    <t>Bad Debt</t>
  </si>
  <si>
    <t>Utilities</t>
  </si>
  <si>
    <t>Misc. Rental Adjustments</t>
  </si>
  <si>
    <t>Insurance</t>
  </si>
  <si>
    <t>Total Adjustments</t>
  </si>
  <si>
    <t>Property Tax</t>
  </si>
  <si>
    <t>Other Income</t>
  </si>
  <si>
    <t>Management Fees</t>
  </si>
  <si>
    <t>Total Operating Income</t>
  </si>
  <si>
    <t>Total Operating Expenses</t>
  </si>
  <si>
    <t>Exp. Ratio</t>
  </si>
  <si>
    <t>P Var</t>
  </si>
  <si>
    <t>N Var</t>
  </si>
  <si>
    <t>Net Operating Income</t>
  </si>
  <si>
    <t>Debt Information</t>
  </si>
  <si>
    <t>Loan Information</t>
  </si>
  <si>
    <t>Performance Matrics</t>
  </si>
  <si>
    <t>Cash Flow Impact</t>
  </si>
  <si>
    <t>Refinance Analysis</t>
  </si>
  <si>
    <t>Source: Rent Roll (GPR Minus Concession)</t>
  </si>
  <si>
    <t>Lender Name</t>
  </si>
  <si>
    <t>Fannie Mae</t>
  </si>
  <si>
    <t xml:space="preserve">MTD DSCR </t>
  </si>
  <si>
    <t>Monthly Debt Service - Interest</t>
  </si>
  <si>
    <t>New loan Metrics</t>
  </si>
  <si>
    <t>Comparative Analysis</t>
  </si>
  <si>
    <t>Summary and Recommendation</t>
  </si>
  <si>
    <t>Total Revenues divided by # of units</t>
  </si>
  <si>
    <t>Origination Date</t>
  </si>
  <si>
    <t>YTD DSCR</t>
  </si>
  <si>
    <t xml:space="preserve">Monthly Debt Service - Principal </t>
  </si>
  <si>
    <t>Market Interest Rate</t>
  </si>
  <si>
    <t>New Mth DS (I/O)</t>
  </si>
  <si>
    <t>Currently paying $257,721/mo in P/I at 6%. Refinancing to 5.25% with 5-year I/O drops payment to $175,759/mo - a massive $81,962/month ($983K annually) in cash flow improvement. Despite zero cash-out, the dramatic payment reduction and 20.7-month break-even make this highly attractive</t>
  </si>
  <si>
    <t>MTD (MoM), YTD (Compared to previous year), 2025 (compared to 2024)</t>
  </si>
  <si>
    <t>Recourse</t>
  </si>
  <si>
    <t>Non-Recourse</t>
  </si>
  <si>
    <t>MTD Debt Yield</t>
  </si>
  <si>
    <t>Total Debt Service</t>
  </si>
  <si>
    <t>Loan Term (years)</t>
  </si>
  <si>
    <t>New Mth DS (P/I)</t>
  </si>
  <si>
    <t xml:space="preserve">Subject rent growth as a % of market growth </t>
  </si>
  <si>
    <t>Original Loan Amount</t>
  </si>
  <si>
    <t>YTD Debt Yield</t>
  </si>
  <si>
    <t>Annual Debt Service</t>
  </si>
  <si>
    <t xml:space="preserve">I/O Period </t>
  </si>
  <si>
    <t>Mth Cash Flow Impact</t>
  </si>
  <si>
    <t>Current Outstanding Balance</t>
  </si>
  <si>
    <t>Loan to Value</t>
  </si>
  <si>
    <t>Principal Paydown YTD</t>
  </si>
  <si>
    <t>Amortization Period</t>
  </si>
  <si>
    <t>Annual CF Impact</t>
  </si>
  <si>
    <t>Interest Rate (Fixed/Floating)</t>
  </si>
  <si>
    <t>Fixed</t>
  </si>
  <si>
    <t>Covenant Monitoring</t>
  </si>
  <si>
    <t xml:space="preserve">Principal Paydown Total </t>
  </si>
  <si>
    <t>Estimated Closing Costs</t>
  </si>
  <si>
    <t>Cash Out Available</t>
  </si>
  <si>
    <t>Strategic Benefits</t>
  </si>
  <si>
    <t xml:space="preserve">Interest Rate Index </t>
  </si>
  <si>
    <t>US Treasury - 5Y</t>
  </si>
  <si>
    <t>Days to Maturity</t>
  </si>
  <si>
    <t>Reserves Accounts</t>
  </si>
  <si>
    <t>Prepayment Penalty</t>
  </si>
  <si>
    <t>Break-even Period</t>
  </si>
  <si>
    <r>
      <t>Immediate liquidity relief</t>
    </r>
    <r>
      <rPr>
        <sz val="8"/>
        <rFont val="Aptos Narrow"/>
      </rPr>
      <t xml:space="preserve"> - Frees up $82K/month for operations, capex, or distributions</t>
    </r>
  </si>
  <si>
    <t>Interest Rate - Index Value</t>
  </si>
  <si>
    <t>Days to I/O Expiration</t>
  </si>
  <si>
    <t>Replacement Reserves</t>
  </si>
  <si>
    <t>Target LTV</t>
  </si>
  <si>
    <t>All-in Effective Rate</t>
  </si>
  <si>
    <r>
      <t>Rate improvement</t>
    </r>
    <r>
      <rPr>
        <sz val="8"/>
        <rFont val="Aptos Narrow"/>
      </rPr>
      <t xml:space="preserve"> - Lock in 0.75% savings (6.00% → 5.25%)</t>
    </r>
  </si>
  <si>
    <t>Interest rate - Spread</t>
  </si>
  <si>
    <t>Min DSCR Required</t>
  </si>
  <si>
    <t>Tax Escrow Balance</t>
  </si>
  <si>
    <t>Target DSCR</t>
  </si>
  <si>
    <r>
      <t>Term extension</t>
    </r>
    <r>
      <rPr>
        <sz val="8"/>
        <rFont val="Aptos Narrow"/>
      </rPr>
      <t xml:space="preserve"> - Push maturity from 2028 to 2032</t>
    </r>
  </si>
  <si>
    <t>Interest Rate - All in Rate</t>
  </si>
  <si>
    <t>Current DSCR vs. Required (%)</t>
  </si>
  <si>
    <t>Insurance Escrow Balance</t>
  </si>
  <si>
    <t>Max Loan Based on LTV</t>
  </si>
  <si>
    <r>
      <t>Flexibility window</t>
    </r>
    <r>
      <rPr>
        <sz val="8"/>
        <rFont val="Aptos Narrow"/>
      </rPr>
      <t xml:space="preserve"> - 5 years of improved cash flow before amortization begins</t>
    </r>
  </si>
  <si>
    <t>Maturity Date</t>
  </si>
  <si>
    <t>Debt Yield Required</t>
  </si>
  <si>
    <t>Market Cap Rate</t>
  </si>
  <si>
    <t>Max Loan Based on DSCR</t>
  </si>
  <si>
    <t>Interest Only Period Ending</t>
  </si>
  <si>
    <t>Current DY vs Required (%)</t>
  </si>
  <si>
    <t xml:space="preserve">Property Value </t>
  </si>
  <si>
    <t>New Loan Size</t>
  </si>
  <si>
    <t>GPR net of adjustment over GPR</t>
  </si>
  <si>
    <t>Depth Analysis</t>
  </si>
  <si>
    <t>How far in advance residents give notice</t>
  </si>
  <si>
    <t>Revenue Optimization Analysis</t>
  </si>
  <si>
    <t>MTD</t>
  </si>
  <si>
    <t>Digital &amp; Marketing Performance</t>
  </si>
  <si>
    <t xml:space="preserve">See formula </t>
  </si>
  <si>
    <t>Average Effective Rent per Unit</t>
  </si>
  <si>
    <t>Cost per Lease (with link to cost/source)</t>
  </si>
  <si>
    <r>
      <t>Revenue per unit (RevPAU)</t>
    </r>
    <r>
      <rPr>
        <sz val="10"/>
        <rFont val="Arial"/>
        <family val="2"/>
      </rPr>
      <t xml:space="preserve"> </t>
    </r>
  </si>
  <si>
    <t>Ave. days to lease from first inquiry</t>
  </si>
  <si>
    <t xml:space="preserve">Rent Growth </t>
  </si>
  <si>
    <t>Application completion rate</t>
  </si>
  <si>
    <t>Days from move-out to move-in ready</t>
  </si>
  <si>
    <r>
      <t>Rent Growth</t>
    </r>
    <r>
      <rPr>
        <sz val="10"/>
        <rFont val="Arial"/>
        <family val="2"/>
      </rPr>
      <t xml:space="preserve"> vs. Market</t>
    </r>
  </si>
  <si>
    <t>Application approval rate</t>
  </si>
  <si>
    <t>Loss-to-lease as a % of GPR</t>
  </si>
  <si>
    <t>Ave. time from app. to lease signing</t>
  </si>
  <si>
    <t>ROI on turns (Yearly Increase over cost of T/O)</t>
  </si>
  <si>
    <r>
      <t>Concession Cost as % of Effective Rent</t>
    </r>
    <r>
      <rPr>
        <sz val="10"/>
        <rFont val="Arial"/>
        <family val="2"/>
      </rPr>
      <t xml:space="preserve"> </t>
    </r>
  </si>
  <si>
    <t>Cancellation rate (denial rate)</t>
  </si>
  <si>
    <t>NOI over Debt Service</t>
  </si>
  <si>
    <t>Bad Debt as % of Effective Rent</t>
  </si>
  <si>
    <t>Economic Occupancy</t>
  </si>
  <si>
    <t xml:space="preserve">Residnet Renewal </t>
  </si>
  <si>
    <r>
      <t>Ave. length of tenancy/residency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(months)</t>
    </r>
  </si>
  <si>
    <t>Free Cash Flow over Equity</t>
  </si>
  <si>
    <t xml:space="preserve">Expense Analysis </t>
  </si>
  <si>
    <t>Average Notice Period (Days)</t>
  </si>
  <si>
    <t>Operating expense/Unit/Year</t>
  </si>
  <si>
    <r>
      <t>Resident scores</t>
    </r>
    <r>
      <rPr>
        <sz val="10"/>
        <rFont val="Arial"/>
        <family val="2"/>
      </rPr>
      <t xml:space="preserve"> </t>
    </r>
  </si>
  <si>
    <t>Controllable Expenses per Unit</t>
  </si>
  <si>
    <t>Non-Controllable Expenses per Unit</t>
  </si>
  <si>
    <t>Turnover Performance</t>
  </si>
  <si>
    <r>
      <t>Average turn time</t>
    </r>
    <r>
      <rPr>
        <sz val="10"/>
        <rFont val="Arial"/>
        <family val="2"/>
      </rPr>
      <t xml:space="preserve"> </t>
    </r>
    <r>
      <rPr>
        <sz val="10"/>
        <rFont val="Aptos Narrow"/>
        <family val="2"/>
      </rPr>
      <t>(Days)</t>
    </r>
  </si>
  <si>
    <t>"Below the Line"</t>
  </si>
  <si>
    <r>
      <t>Turn costs per unit</t>
    </r>
    <r>
      <rPr>
        <sz val="10"/>
        <rFont val="Arial"/>
        <family val="2"/>
      </rPr>
      <t xml:space="preserve"> </t>
    </r>
  </si>
  <si>
    <r>
      <t>Capex tracking</t>
    </r>
    <r>
      <rPr>
        <sz val="10"/>
        <rFont val="Arial"/>
        <family val="2"/>
      </rPr>
      <t xml:space="preserve"> </t>
    </r>
    <r>
      <rPr>
        <sz val="10"/>
        <rFont val="Aptos Narrow"/>
        <family val="2"/>
      </rPr>
      <t>($ Spent)</t>
    </r>
  </si>
  <si>
    <r>
      <t>Turn cost vs. rent increase analysis</t>
    </r>
    <r>
      <rPr>
        <sz val="10"/>
        <rFont val="Arial"/>
        <family val="2"/>
      </rPr>
      <t xml:space="preserve"> </t>
    </r>
  </si>
  <si>
    <t>Debt Service ($$)</t>
  </si>
  <si>
    <t xml:space="preserve">Debt service coverage ratio </t>
  </si>
  <si>
    <t xml:space="preserve">Questions: </t>
  </si>
  <si>
    <t>Non-Operating Expenses</t>
  </si>
  <si>
    <t>Mapping what we are missing</t>
  </si>
  <si>
    <t>Free cash flow</t>
  </si>
  <si>
    <t>AI Insights (see refinance)</t>
  </si>
  <si>
    <r>
      <t>Cash-on-cash return</t>
    </r>
    <r>
      <rPr>
        <b/>
        <sz val="10"/>
        <rFont val="Arial"/>
        <family val="2"/>
      </rPr>
      <t xml:space="preserve"> </t>
    </r>
  </si>
  <si>
    <t>Sources for Debt</t>
  </si>
  <si>
    <t>PHH Properties - live data (meeting 2/2)</t>
  </si>
  <si>
    <t>FPA, CRG, Lion, Cushwake</t>
  </si>
  <si>
    <t>Portfolio Comparison (If Multi-Property)</t>
  </si>
  <si>
    <t>Needs Breakdown</t>
  </si>
  <si>
    <r>
      <t>Property ranking matrix</t>
    </r>
    <r>
      <rPr>
        <sz val="10"/>
        <rFont val="Arial"/>
        <family val="2"/>
      </rPr>
      <t xml:space="preserve"> on key metrics</t>
    </r>
  </si>
  <si>
    <r>
      <t>Move-out reasons breakdown</t>
    </r>
    <r>
      <rPr>
        <sz val="10"/>
        <rFont val="Arial"/>
        <family val="2"/>
      </rPr>
      <t xml:space="preserve"> </t>
    </r>
  </si>
  <si>
    <t>Market rent survey comparison</t>
  </si>
  <si>
    <r>
      <t>Lead source breakdown</t>
    </r>
    <r>
      <rPr>
        <sz val="10"/>
        <rFont val="Arial"/>
        <family val="2"/>
      </rPr>
      <t xml:space="preserve"> (organic, ILS, referral, etc.)</t>
    </r>
  </si>
  <si>
    <t xml:space="preserve">Additions: </t>
  </si>
  <si>
    <t>Predictive/Forward-Looking</t>
  </si>
  <si>
    <t>Tenants Score - bulding/portfolio</t>
  </si>
  <si>
    <r>
      <t>Projected occupancy next 30/60/90 days</t>
    </r>
    <r>
      <rPr>
        <sz val="9"/>
        <rFont val="Arial"/>
        <family val="2"/>
      </rPr>
      <t xml:space="preserve"> based on pipeline</t>
    </r>
  </si>
  <si>
    <t>Revenue forecast vs. budget</t>
  </si>
  <si>
    <t>Insights</t>
  </si>
  <si>
    <r>
      <t>Lease expiration schedule</t>
    </r>
    <r>
      <rPr>
        <sz val="9"/>
        <rFont val="Arial"/>
        <family val="2"/>
      </rPr>
      <t xml:space="preserve"> (next 3-6 months visualization)</t>
    </r>
  </si>
  <si>
    <t>Optimal rent recommendations by unit/availability</t>
  </si>
  <si>
    <r>
      <t>Seasonality trends</t>
    </r>
    <r>
      <rPr>
        <sz val="9"/>
        <rFont val="Arial"/>
        <family val="2"/>
      </rPr>
      <t xml:space="preserve"> - occupancy/rent patterns</t>
    </r>
  </si>
  <si>
    <t>Tour-to-lease velocity by unit type</t>
  </si>
  <si>
    <t>Time on market by unit type</t>
  </si>
  <si>
    <t>Interest Rate</t>
  </si>
  <si>
    <t>Comps:</t>
  </si>
  <si>
    <t>Competitor occupancy rates</t>
  </si>
  <si>
    <t>Floating Rate</t>
  </si>
  <si>
    <t>Competitor concession levels</t>
  </si>
  <si>
    <t>Interest Only</t>
  </si>
  <si>
    <t>Market supply coming online</t>
  </si>
  <si>
    <t xml:space="preserve">Principal &amp; Interest </t>
  </si>
  <si>
    <t>Visual/Design</t>
  </si>
  <si>
    <t>US Treasury - 7Y</t>
  </si>
  <si>
    <r>
      <t>Visual hierarchy</t>
    </r>
    <r>
      <rPr>
        <sz val="10"/>
        <rFont val="Arial"/>
        <family val="2"/>
      </rPr>
      <t xml:space="preserve"> - Use color coding for positive/negative variances</t>
    </r>
  </si>
  <si>
    <t>US Treasury - 10Y</t>
  </si>
  <si>
    <r>
      <t>Trend indicators</t>
    </r>
    <r>
      <rPr>
        <sz val="10"/>
        <rFont val="Arial"/>
        <family val="2"/>
      </rPr>
      <t xml:space="preserve"> - Add sparklines or trend arrows for key metrics</t>
    </r>
  </si>
  <si>
    <t>SOFR - 30 Days</t>
  </si>
  <si>
    <r>
      <t>Alert thresholds</t>
    </r>
    <r>
      <rPr>
        <sz val="10"/>
        <rFont val="Arial"/>
        <family val="2"/>
      </rPr>
      <t xml:space="preserve"> - Flag metrics outside acceptable ranges</t>
    </r>
  </si>
  <si>
    <t>SOFR - 30 Days Swap</t>
  </si>
  <si>
    <r>
      <t>Drill-down capability</t>
    </r>
    <r>
      <rPr>
        <sz val="10"/>
        <rFont val="Arial"/>
        <family val="2"/>
      </rPr>
      <t xml:space="preserve"> - Link to detailed reports for each section</t>
    </r>
  </si>
  <si>
    <r>
      <t>Executive summary section</t>
    </r>
    <r>
      <rPr>
        <sz val="10"/>
        <rFont val="Arial"/>
        <family val="2"/>
      </rPr>
      <t xml:space="preserve"> - Top 5-7 metrics at a glance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</si>
</sst>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"/>
  </numFmts>
  <fonts count="24" x14ac:knownFonts="1">
    <font>
      <sz val="10"/>
      <name val="Arial"/>
      <family val="2"/>
    </font>
    <font>
      <sz val="12"/>
      <color rgb="FF9C0006"/>
      <name val="Calibri"/>
      <family val="2"/>
      <scheme val="minor"/>
    </font>
    <font>
      <sz val="10"/>
      <name val="Arial"/>
      <family val="2"/>
    </font>
    <font>
      <sz val="10"/>
      <name val="Aptos Narrow"/>
      <family val="2"/>
    </font>
    <font>
      <b/>
      <sz val="10"/>
      <name val="Aptos Narrow"/>
      <family val="2"/>
    </font>
    <font>
      <b/>
      <u/>
      <sz val="10"/>
      <name val="Aptos Narrow"/>
    </font>
    <font>
      <b/>
      <sz val="8"/>
      <name val="Aptos Narrow"/>
      <family val="2"/>
    </font>
    <font>
      <b/>
      <sz val="10"/>
      <name val="Aptos Narrow"/>
    </font>
    <font>
      <sz val="8"/>
      <name val="Aptos Narrow"/>
      <family val="2"/>
    </font>
    <font>
      <b/>
      <sz val="9"/>
      <name val="Aptos Narrow"/>
      <family val="2"/>
    </font>
    <font>
      <b/>
      <sz val="8"/>
      <name val="Aptos Narrow"/>
    </font>
    <font>
      <sz val="8"/>
      <name val="Aptos Narrow"/>
    </font>
    <font>
      <b/>
      <sz val="9"/>
      <name val="Aptos Narrow"/>
    </font>
    <font>
      <sz val="8"/>
      <color rgb="FF0432FF"/>
      <name val="Aptos Narrow"/>
      <family val="2"/>
    </font>
    <font>
      <sz val="8"/>
      <color rgb="FF0432FF"/>
      <name val="Aptos Narrow"/>
    </font>
    <font>
      <b/>
      <sz val="10"/>
      <color theme="1"/>
      <name val="Aptos Narrow"/>
    </font>
    <font>
      <sz val="10"/>
      <name val="Aptos Narrow"/>
    </font>
    <font>
      <sz val="8"/>
      <name val="Arial"/>
      <family val="2"/>
    </font>
    <font>
      <sz val="8"/>
      <color rgb="FFFF0000"/>
      <name val="Aptos Narrow"/>
      <family val="2"/>
    </font>
    <font>
      <b/>
      <sz val="10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2">
    <border>
      <left/>
      <right/>
      <top/>
      <bottom/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/>
      <right style="medium">
        <color theme="3"/>
      </right>
      <top style="medium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/>
      <bottom/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medium">
        <color theme="3"/>
      </right>
      <top style="thin">
        <color theme="3"/>
      </top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indexed="64"/>
      </right>
      <top/>
      <bottom style="thin">
        <color theme="3"/>
      </bottom>
      <diagonal/>
    </border>
    <border>
      <left style="thin">
        <color indexed="64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 style="medium">
        <color theme="3"/>
      </right>
      <top/>
      <bottom style="thin">
        <color theme="3"/>
      </bottom>
      <diagonal/>
    </border>
    <border>
      <left style="thin">
        <color indexed="64"/>
      </left>
      <right/>
      <top style="thin">
        <color theme="3"/>
      </top>
      <bottom style="thin">
        <color indexed="64"/>
      </bottom>
      <diagonal/>
    </border>
    <border>
      <left/>
      <right/>
      <top style="thin">
        <color theme="3"/>
      </top>
      <bottom style="thin">
        <color indexed="64"/>
      </bottom>
      <diagonal/>
    </border>
    <border>
      <left style="thin">
        <color theme="3"/>
      </left>
      <right/>
      <top style="thin">
        <color theme="3"/>
      </top>
      <bottom style="thin">
        <color indexed="64"/>
      </bottom>
      <diagonal/>
    </border>
    <border>
      <left/>
      <right style="thin">
        <color theme="3"/>
      </right>
      <top style="thin">
        <color theme="3"/>
      </top>
      <bottom style="thin">
        <color indexed="64"/>
      </bottom>
      <diagonal/>
    </border>
    <border>
      <left/>
      <right style="medium">
        <color theme="3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theme="3"/>
      </right>
      <top style="thin">
        <color indexed="64"/>
      </top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3"/>
      </top>
      <bottom style="thin">
        <color theme="3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theme="3"/>
      </right>
      <top style="thin">
        <color theme="3"/>
      </top>
      <bottom style="thin">
        <color indexed="64"/>
      </bottom>
      <diagonal/>
    </border>
    <border>
      <left style="medium">
        <color theme="3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3"/>
      </top>
      <bottom style="medium">
        <color indexed="64"/>
      </bottom>
      <diagonal/>
    </border>
    <border>
      <left/>
      <right/>
      <top style="thin">
        <color theme="3"/>
      </top>
      <bottom style="medium">
        <color indexed="64"/>
      </bottom>
      <diagonal/>
    </border>
    <border>
      <left/>
      <right style="medium">
        <color theme="3"/>
      </right>
      <top style="thin">
        <color theme="3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 style="thin">
        <color theme="3"/>
      </left>
      <right/>
      <top/>
      <bottom style="medium">
        <color theme="3"/>
      </bottom>
      <diagonal/>
    </border>
    <border>
      <left/>
      <right style="thin">
        <color theme="3"/>
      </right>
      <top/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50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5" fillId="0" borderId="0" xfId="0" applyFont="1"/>
    <xf numFmtId="0" fontId="3" fillId="5" borderId="12" xfId="0" applyFont="1" applyFill="1" applyBorder="1"/>
    <xf numFmtId="0" fontId="3" fillId="5" borderId="13" xfId="0" applyFont="1" applyFill="1" applyBorder="1"/>
    <xf numFmtId="0" fontId="4" fillId="5" borderId="7" xfId="0" applyFont="1" applyFill="1" applyBorder="1" applyAlignment="1">
      <alignment horizont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19" xfId="0" applyFont="1" applyFill="1" applyBorder="1"/>
    <xf numFmtId="0" fontId="4" fillId="5" borderId="20" xfId="0" applyFont="1" applyFill="1" applyBorder="1"/>
    <xf numFmtId="0" fontId="4" fillId="5" borderId="20" xfId="0" applyFont="1" applyFill="1" applyBorder="1" applyAlignment="1">
      <alignment horizont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5" borderId="25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164" fontId="3" fillId="0" borderId="26" xfId="0" applyNumberFormat="1" applyFont="1" applyBorder="1" applyAlignment="1">
      <alignment horizontal="right"/>
    </xf>
    <xf numFmtId="0" fontId="3" fillId="0" borderId="11" xfId="0" applyFont="1" applyBorder="1"/>
    <xf numFmtId="0" fontId="3" fillId="0" borderId="27" xfId="0" applyFont="1" applyBorder="1"/>
    <xf numFmtId="165" fontId="3" fillId="0" borderId="0" xfId="2" applyNumberFormat="1" applyFont="1" applyBorder="1"/>
    <xf numFmtId="44" fontId="3" fillId="0" borderId="0" xfId="0" applyNumberFormat="1" applyFont="1"/>
    <xf numFmtId="165" fontId="3" fillId="0" borderId="28" xfId="2" applyNumberFormat="1" applyFont="1" applyBorder="1"/>
    <xf numFmtId="44" fontId="3" fillId="0" borderId="27" xfId="0" applyNumberFormat="1" applyFont="1" applyBorder="1"/>
    <xf numFmtId="164" fontId="3" fillId="0" borderId="5" xfId="3" applyNumberFormat="1" applyFont="1" applyBorder="1"/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164" fontId="3" fillId="0" borderId="20" xfId="0" applyNumberFormat="1" applyFont="1" applyBorder="1" applyAlignment="1">
      <alignment horizontal="right"/>
    </xf>
    <xf numFmtId="164" fontId="3" fillId="0" borderId="21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164" fontId="3" fillId="0" borderId="29" xfId="3" applyNumberFormat="1" applyFont="1" applyBorder="1"/>
    <xf numFmtId="0" fontId="4" fillId="0" borderId="30" xfId="0" applyFont="1" applyBorder="1"/>
    <xf numFmtId="0" fontId="4" fillId="0" borderId="31" xfId="0" applyFont="1" applyBorder="1"/>
    <xf numFmtId="1" fontId="4" fillId="0" borderId="31" xfId="0" applyNumberFormat="1" applyFont="1" applyBorder="1"/>
    <xf numFmtId="165" fontId="4" fillId="0" borderId="32" xfId="2" applyNumberFormat="1" applyFont="1" applyBorder="1"/>
    <xf numFmtId="44" fontId="4" fillId="0" borderId="31" xfId="2" applyFont="1" applyBorder="1"/>
    <xf numFmtId="44" fontId="4" fillId="0" borderId="33" xfId="2" applyFont="1" applyBorder="1"/>
    <xf numFmtId="164" fontId="3" fillId="0" borderId="34" xfId="3" applyNumberFormat="1" applyFont="1" applyBorder="1"/>
    <xf numFmtId="164" fontId="3" fillId="0" borderId="20" xfId="3" applyNumberFormat="1" applyFont="1" applyBorder="1" applyAlignment="1">
      <alignment horizontal="right"/>
    </xf>
    <xf numFmtId="164" fontId="3" fillId="0" borderId="21" xfId="3" applyNumberFormat="1" applyFont="1" applyBorder="1" applyAlignment="1">
      <alignment horizontal="right"/>
    </xf>
    <xf numFmtId="0" fontId="4" fillId="5" borderId="35" xfId="0" applyFont="1" applyFill="1" applyBorder="1"/>
    <xf numFmtId="0" fontId="4" fillId="5" borderId="36" xfId="0" applyFont="1" applyFill="1" applyBorder="1"/>
    <xf numFmtId="0" fontId="3" fillId="0" borderId="37" xfId="0" applyFont="1" applyBorder="1"/>
    <xf numFmtId="0" fontId="3" fillId="0" borderId="38" xfId="0" applyFont="1" applyBorder="1"/>
    <xf numFmtId="0" fontId="4" fillId="0" borderId="22" xfId="0" applyFont="1" applyBorder="1"/>
    <xf numFmtId="0" fontId="4" fillId="0" borderId="20" xfId="0" applyFont="1" applyBorder="1"/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7" fillId="0" borderId="9" xfId="0" applyFont="1" applyBorder="1"/>
    <xf numFmtId="0" fontId="7" fillId="0" borderId="7" xfId="0" applyFont="1" applyBorder="1"/>
    <xf numFmtId="165" fontId="7" fillId="0" borderId="7" xfId="0" applyNumberFormat="1" applyFont="1" applyBorder="1"/>
    <xf numFmtId="0" fontId="3" fillId="0" borderId="3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6" fontId="3" fillId="0" borderId="0" xfId="1" applyNumberFormat="1" applyFont="1" applyBorder="1" applyAlignment="1">
      <alignment horizontal="right"/>
    </xf>
    <xf numFmtId="166" fontId="3" fillId="0" borderId="26" xfId="1" applyNumberFormat="1" applyFont="1" applyBorder="1" applyAlignment="1">
      <alignment horizontal="right"/>
    </xf>
    <xf numFmtId="0" fontId="3" fillId="0" borderId="2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3" applyNumberFormat="1" applyFont="1" applyBorder="1" applyAlignment="1">
      <alignment horizontal="right"/>
    </xf>
    <xf numFmtId="164" fontId="8" fillId="0" borderId="26" xfId="3" applyNumberFormat="1" applyFont="1" applyBorder="1" applyAlignment="1">
      <alignment horizontal="right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65" fontId="4" fillId="0" borderId="31" xfId="0" applyNumberFormat="1" applyFont="1" applyBorder="1"/>
    <xf numFmtId="0" fontId="3" fillId="0" borderId="40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166" fontId="3" fillId="0" borderId="0" xfId="0" applyNumberFormat="1" applyFont="1" applyAlignment="1">
      <alignment horizontal="right"/>
    </xf>
    <xf numFmtId="166" fontId="3" fillId="0" borderId="26" xfId="0" applyNumberFormat="1" applyFont="1" applyBorder="1" applyAlignment="1">
      <alignment horizontal="right"/>
    </xf>
    <xf numFmtId="0" fontId="4" fillId="0" borderId="37" xfId="0" applyFont="1" applyBorder="1"/>
    <xf numFmtId="0" fontId="9" fillId="0" borderId="37" xfId="0" applyFont="1" applyBorder="1" applyAlignment="1">
      <alignment horizontal="center"/>
    </xf>
    <xf numFmtId="0" fontId="9" fillId="0" borderId="22" xfId="0" applyFont="1" applyBorder="1"/>
    <xf numFmtId="0" fontId="9" fillId="0" borderId="20" xfId="0" applyFont="1" applyBorder="1"/>
    <xf numFmtId="0" fontId="9" fillId="0" borderId="20" xfId="0" applyFont="1" applyBorder="1" applyAlignment="1">
      <alignment horizontal="center"/>
    </xf>
    <xf numFmtId="0" fontId="9" fillId="0" borderId="25" xfId="0" applyFont="1" applyBorder="1" applyAlignment="1">
      <alignment wrapText="1"/>
    </xf>
    <xf numFmtId="166" fontId="3" fillId="0" borderId="0" xfId="1" applyNumberFormat="1" applyFont="1" applyBorder="1"/>
    <xf numFmtId="164" fontId="3" fillId="0" borderId="0" xfId="3" applyNumberFormat="1" applyFont="1" applyBorder="1"/>
    <xf numFmtId="165" fontId="3" fillId="0" borderId="0" xfId="0" applyNumberFormat="1" applyFont="1"/>
    <xf numFmtId="14" fontId="3" fillId="0" borderId="5" xfId="0" applyNumberFormat="1" applyFont="1" applyBorder="1"/>
    <xf numFmtId="0" fontId="8" fillId="0" borderId="19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164" fontId="8" fillId="0" borderId="20" xfId="3" applyNumberFormat="1" applyFont="1" applyBorder="1" applyAlignment="1">
      <alignment horizontal="right"/>
    </xf>
    <xf numFmtId="164" fontId="8" fillId="0" borderId="21" xfId="3" applyNumberFormat="1" applyFont="1" applyBorder="1" applyAlignment="1">
      <alignment horizontal="right"/>
    </xf>
    <xf numFmtId="164" fontId="3" fillId="0" borderId="20" xfId="3" applyNumberFormat="1" applyFont="1" applyBorder="1"/>
    <xf numFmtId="165" fontId="3" fillId="0" borderId="20" xfId="0" applyNumberFormat="1" applyFont="1" applyBorder="1"/>
    <xf numFmtId="0" fontId="4" fillId="4" borderId="41" xfId="0" applyFont="1" applyFill="1" applyBorder="1" applyAlignment="1">
      <alignment horizontal="center"/>
    </xf>
    <xf numFmtId="166" fontId="4" fillId="0" borderId="31" xfId="1" applyNumberFormat="1" applyFont="1" applyBorder="1"/>
    <xf numFmtId="165" fontId="4" fillId="0" borderId="31" xfId="2" applyNumberFormat="1" applyFont="1" applyBorder="1"/>
    <xf numFmtId="164" fontId="4" fillId="0" borderId="42" xfId="3" applyNumberFormat="1" applyFont="1" applyBorder="1"/>
    <xf numFmtId="165" fontId="4" fillId="0" borderId="42" xfId="0" applyNumberFormat="1" applyFont="1" applyBorder="1"/>
    <xf numFmtId="0" fontId="4" fillId="0" borderId="43" xfId="0" applyFont="1" applyBorder="1"/>
    <xf numFmtId="0" fontId="3" fillId="0" borderId="26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41" xfId="0" applyFont="1" applyBorder="1"/>
    <xf numFmtId="165" fontId="8" fillId="0" borderId="4" xfId="2" applyNumberFormat="1" applyFont="1" applyBorder="1"/>
    <xf numFmtId="165" fontId="8" fillId="0" borderId="0" xfId="2" applyNumberFormat="1" applyFont="1" applyBorder="1"/>
    <xf numFmtId="165" fontId="8" fillId="0" borderId="26" xfId="2" applyNumberFormat="1" applyFont="1" applyBorder="1"/>
    <xf numFmtId="166" fontId="8" fillId="0" borderId="0" xfId="1" applyNumberFormat="1" applyFont="1" applyBorder="1"/>
    <xf numFmtId="166" fontId="8" fillId="0" borderId="26" xfId="1" applyNumberFormat="1" applyFont="1" applyBorder="1"/>
    <xf numFmtId="165" fontId="8" fillId="0" borderId="44" xfId="2" applyNumberFormat="1" applyFont="1" applyBorder="1"/>
    <xf numFmtId="165" fontId="8" fillId="0" borderId="45" xfId="2" applyNumberFormat="1" applyFont="1" applyBorder="1"/>
    <xf numFmtId="165" fontId="8" fillId="0" borderId="46" xfId="2" applyNumberFormat="1" applyFont="1" applyBorder="1"/>
    <xf numFmtId="0" fontId="3" fillId="0" borderId="45" xfId="0" applyFont="1" applyBorder="1"/>
    <xf numFmtId="0" fontId="4" fillId="0" borderId="47" xfId="0" applyFont="1" applyBorder="1"/>
    <xf numFmtId="0" fontId="4" fillId="0" borderId="48" xfId="0" applyFont="1" applyBorder="1"/>
    <xf numFmtId="166" fontId="4" fillId="0" borderId="48" xfId="1" applyNumberFormat="1" applyFont="1" applyBorder="1"/>
    <xf numFmtId="165" fontId="4" fillId="0" borderId="48" xfId="2" applyNumberFormat="1" applyFont="1" applyBorder="1"/>
    <xf numFmtId="164" fontId="4" fillId="0" borderId="45" xfId="3" applyNumberFormat="1" applyFont="1" applyBorder="1"/>
    <xf numFmtId="165" fontId="4" fillId="0" borderId="45" xfId="0" applyNumberFormat="1" applyFont="1" applyBorder="1"/>
    <xf numFmtId="0" fontId="4" fillId="0" borderId="49" xfId="0" applyFont="1" applyBorder="1"/>
    <xf numFmtId="0" fontId="7" fillId="4" borderId="50" xfId="0" applyFont="1" applyFill="1" applyBorder="1" applyAlignment="1">
      <alignment horizontal="center"/>
    </xf>
    <xf numFmtId="0" fontId="7" fillId="4" borderId="51" xfId="0" applyFont="1" applyFill="1" applyBorder="1" applyAlignment="1">
      <alignment horizontal="center"/>
    </xf>
    <xf numFmtId="0" fontId="7" fillId="4" borderId="52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left" vertical="center"/>
    </xf>
    <xf numFmtId="0" fontId="7" fillId="5" borderId="17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3" fillId="0" borderId="13" xfId="0" applyFont="1" applyBorder="1"/>
    <xf numFmtId="0" fontId="7" fillId="5" borderId="17" xfId="0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left" vertical="center"/>
    </xf>
    <xf numFmtId="0" fontId="7" fillId="5" borderId="28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7" fillId="5" borderId="24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7" fillId="5" borderId="28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165" fontId="8" fillId="0" borderId="17" xfId="0" applyNumberFormat="1" applyFont="1" applyBorder="1"/>
    <xf numFmtId="165" fontId="8" fillId="0" borderId="16" xfId="0" applyNumberFormat="1" applyFont="1" applyBorder="1"/>
    <xf numFmtId="0" fontId="3" fillId="0" borderId="17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28" xfId="0" applyFont="1" applyBorder="1"/>
    <xf numFmtId="166" fontId="8" fillId="0" borderId="28" xfId="1" applyNumberFormat="1" applyFont="1" applyBorder="1"/>
    <xf numFmtId="166" fontId="8" fillId="0" borderId="27" xfId="1" applyNumberFormat="1" applyFont="1" applyBorder="1"/>
    <xf numFmtId="0" fontId="3" fillId="0" borderId="28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28" xfId="0" applyFont="1" applyBorder="1" applyAlignment="1">
      <alignment vertical="center" wrapText="1"/>
    </xf>
    <xf numFmtId="0" fontId="7" fillId="0" borderId="4" xfId="0" applyFont="1" applyBorder="1"/>
    <xf numFmtId="166" fontId="10" fillId="0" borderId="28" xfId="1" applyNumberFormat="1" applyFont="1" applyBorder="1"/>
    <xf numFmtId="166" fontId="10" fillId="0" borderId="27" xfId="1" applyNumberFormat="1" applyFont="1" applyBorder="1"/>
    <xf numFmtId="166" fontId="11" fillId="0" borderId="28" xfId="1" applyNumberFormat="1" applyFont="1" applyBorder="1"/>
    <xf numFmtId="166" fontId="11" fillId="0" borderId="27" xfId="1" applyNumberFormat="1" applyFont="1" applyBorder="1"/>
    <xf numFmtId="166" fontId="8" fillId="0" borderId="28" xfId="1" applyNumberFormat="1" applyFont="1" applyBorder="1" applyAlignment="1">
      <alignment vertical="center" wrapText="1"/>
    </xf>
    <xf numFmtId="166" fontId="11" fillId="0" borderId="28" xfId="1" applyNumberFormat="1" applyFont="1" applyBorder="1" applyAlignment="1">
      <alignment vertical="center" wrapText="1"/>
    </xf>
    <xf numFmtId="166" fontId="10" fillId="0" borderId="24" xfId="1" applyNumberFormat="1" applyFont="1" applyBorder="1"/>
    <xf numFmtId="166" fontId="10" fillId="0" borderId="23" xfId="1" applyNumberFormat="1" applyFont="1" applyBorder="1"/>
    <xf numFmtId="0" fontId="3" fillId="0" borderId="24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166" fontId="11" fillId="0" borderId="24" xfId="1" applyNumberFormat="1" applyFont="1" applyBorder="1"/>
    <xf numFmtId="166" fontId="11" fillId="0" borderId="23" xfId="1" applyNumberFormat="1" applyFont="1" applyBorder="1"/>
    <xf numFmtId="0" fontId="3" fillId="0" borderId="24" xfId="0" applyFont="1" applyBorder="1"/>
    <xf numFmtId="0" fontId="3" fillId="0" borderId="25" xfId="0" applyFont="1" applyBorder="1"/>
    <xf numFmtId="0" fontId="7" fillId="5" borderId="6" xfId="0" applyFont="1" applyFill="1" applyBorder="1"/>
    <xf numFmtId="166" fontId="12" fillId="5" borderId="24" xfId="0" applyNumberFormat="1" applyFont="1" applyFill="1" applyBorder="1"/>
    <xf numFmtId="166" fontId="12" fillId="5" borderId="23" xfId="0" applyNumberFormat="1" applyFont="1" applyFill="1" applyBorder="1"/>
    <xf numFmtId="166" fontId="12" fillId="5" borderId="39" xfId="0" applyNumberFormat="1" applyFont="1" applyFill="1" applyBorder="1"/>
    <xf numFmtId="166" fontId="12" fillId="5" borderId="8" xfId="0" applyNumberFormat="1" applyFont="1" applyFill="1" applyBorder="1"/>
    <xf numFmtId="0" fontId="3" fillId="0" borderId="20" xfId="0" applyFont="1" applyBorder="1"/>
    <xf numFmtId="0" fontId="7" fillId="5" borderId="24" xfId="0" applyFont="1" applyFill="1" applyBorder="1"/>
    <xf numFmtId="0" fontId="7" fillId="5" borderId="20" xfId="0" applyFont="1" applyFill="1" applyBorder="1"/>
    <xf numFmtId="166" fontId="12" fillId="5" borderId="17" xfId="0" applyNumberFormat="1" applyFont="1" applyFill="1" applyBorder="1"/>
    <xf numFmtId="166" fontId="12" fillId="5" borderId="16" xfId="0" applyNumberFormat="1" applyFont="1" applyFill="1" applyBorder="1"/>
    <xf numFmtId="0" fontId="3" fillId="5" borderId="20" xfId="0" applyFont="1" applyFill="1" applyBorder="1"/>
    <xf numFmtId="0" fontId="3" fillId="5" borderId="25" xfId="0" applyFont="1" applyFill="1" applyBorder="1"/>
    <xf numFmtId="0" fontId="8" fillId="0" borderId="28" xfId="0" applyFont="1" applyBorder="1"/>
    <xf numFmtId="10" fontId="8" fillId="0" borderId="39" xfId="3" applyNumberFormat="1" applyFont="1" applyBorder="1"/>
    <xf numFmtId="10" fontId="8" fillId="0" borderId="7" xfId="3" applyNumberFormat="1" applyFont="1" applyBorder="1"/>
    <xf numFmtId="10" fontId="8" fillId="0" borderId="8" xfId="3" applyNumberFormat="1" applyFont="1" applyBorder="1"/>
    <xf numFmtId="0" fontId="3" fillId="0" borderId="53" xfId="0" applyFont="1" applyBorder="1"/>
    <xf numFmtId="0" fontId="8" fillId="0" borderId="54" xfId="0" applyFont="1" applyBorder="1"/>
    <xf numFmtId="9" fontId="13" fillId="0" borderId="54" xfId="0" applyNumberFormat="1" applyFont="1" applyBorder="1"/>
    <xf numFmtId="0" fontId="8" fillId="0" borderId="55" xfId="0" applyFont="1" applyBorder="1"/>
    <xf numFmtId="164" fontId="13" fillId="0" borderId="56" xfId="0" applyNumberFormat="1" applyFont="1" applyBorder="1"/>
    <xf numFmtId="0" fontId="3" fillId="0" borderId="57" xfId="0" applyFont="1" applyBorder="1"/>
    <xf numFmtId="0" fontId="7" fillId="6" borderId="55" xfId="0" applyFont="1" applyFill="1" applyBorder="1"/>
    <xf numFmtId="0" fontId="7" fillId="6" borderId="54" xfId="0" applyFont="1" applyFill="1" applyBorder="1"/>
    <xf numFmtId="166" fontId="7" fillId="6" borderId="58" xfId="0" applyNumberFormat="1" applyFont="1" applyFill="1" applyBorder="1"/>
    <xf numFmtId="166" fontId="7" fillId="6" borderId="59" xfId="0" applyNumberFormat="1" applyFont="1" applyFill="1" applyBorder="1"/>
    <xf numFmtId="0" fontId="7" fillId="6" borderId="60" xfId="0" applyFont="1" applyFill="1" applyBorder="1"/>
    <xf numFmtId="0" fontId="7" fillId="3" borderId="61" xfId="0" applyFont="1" applyFill="1" applyBorder="1" applyAlignment="1">
      <alignment horizontal="center"/>
    </xf>
    <xf numFmtId="0" fontId="7" fillId="3" borderId="62" xfId="0" applyFont="1" applyFill="1" applyBorder="1" applyAlignment="1">
      <alignment horizontal="center"/>
    </xf>
    <xf numFmtId="0" fontId="7" fillId="3" borderId="63" xfId="0" applyFont="1" applyFill="1" applyBorder="1" applyAlignment="1">
      <alignment horizontal="center"/>
    </xf>
    <xf numFmtId="0" fontId="7" fillId="6" borderId="61" xfId="0" applyFont="1" applyFill="1" applyBorder="1" applyAlignment="1">
      <alignment horizontal="left"/>
    </xf>
    <xf numFmtId="0" fontId="7" fillId="6" borderId="63" xfId="0" applyFont="1" applyFill="1" applyBorder="1" applyAlignment="1">
      <alignment horizontal="left"/>
    </xf>
    <xf numFmtId="0" fontId="7" fillId="6" borderId="64" xfId="0" applyFont="1" applyFill="1" applyBorder="1" applyAlignment="1">
      <alignment horizontal="left"/>
    </xf>
    <xf numFmtId="0" fontId="7" fillId="6" borderId="37" xfId="0" applyFont="1" applyFill="1" applyBorder="1" applyAlignment="1">
      <alignment horizontal="left"/>
    </xf>
    <xf numFmtId="0" fontId="7" fillId="6" borderId="65" xfId="0" applyFont="1" applyFill="1" applyBorder="1" applyAlignment="1">
      <alignment horizontal="left"/>
    </xf>
    <xf numFmtId="0" fontId="7" fillId="6" borderId="62" xfId="0" applyFont="1" applyFill="1" applyBorder="1" applyAlignment="1">
      <alignment horizontal="left"/>
    </xf>
    <xf numFmtId="0" fontId="7" fillId="6" borderId="61" xfId="0" applyFont="1" applyFill="1" applyBorder="1" applyAlignment="1">
      <alignment horizontal="center"/>
    </xf>
    <xf numFmtId="0" fontId="7" fillId="6" borderId="62" xfId="0" applyFont="1" applyFill="1" applyBorder="1" applyAlignment="1">
      <alignment horizontal="center"/>
    </xf>
    <xf numFmtId="0" fontId="7" fillId="6" borderId="63" xfId="0" applyFont="1" applyFill="1" applyBorder="1" applyAlignment="1">
      <alignment horizontal="center"/>
    </xf>
    <xf numFmtId="0" fontId="14" fillId="0" borderId="0" xfId="0" applyFont="1"/>
    <xf numFmtId="0" fontId="3" fillId="0" borderId="64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43" fontId="8" fillId="0" borderId="65" xfId="1" applyFont="1" applyBorder="1"/>
    <xf numFmtId="0" fontId="3" fillId="0" borderId="11" xfId="0" applyFont="1" applyBorder="1"/>
    <xf numFmtId="0" fontId="3" fillId="0" borderId="0" xfId="0" applyFont="1"/>
    <xf numFmtId="165" fontId="8" fillId="0" borderId="0" xfId="0" applyNumberFormat="1" applyFont="1"/>
    <xf numFmtId="0" fontId="7" fillId="5" borderId="66" xfId="0" applyFont="1" applyFill="1" applyBorder="1"/>
    <xf numFmtId="0" fontId="7" fillId="5" borderId="42" xfId="0" applyFont="1" applyFill="1" applyBorder="1"/>
    <xf numFmtId="0" fontId="7" fillId="5" borderId="67" xfId="0" applyFont="1" applyFill="1" applyBorder="1"/>
    <xf numFmtId="0" fontId="7" fillId="5" borderId="66" xfId="0" applyFont="1" applyFill="1" applyBorder="1" applyAlignment="1">
      <alignment horizontal="left"/>
    </xf>
    <xf numFmtId="0" fontId="7" fillId="5" borderId="67" xfId="0" applyFont="1" applyFill="1" applyBorder="1" applyAlignment="1">
      <alignment horizontal="left"/>
    </xf>
    <xf numFmtId="14" fontId="14" fillId="0" borderId="0" xfId="0" applyNumberFormat="1" applyFont="1" applyAlignment="1">
      <alignment horizontal="center"/>
    </xf>
    <xf numFmtId="0" fontId="3" fillId="0" borderId="11" xfId="0" applyFont="1" applyBorder="1" applyAlignment="1">
      <alignment horizontal="left"/>
    </xf>
    <xf numFmtId="43" fontId="8" fillId="0" borderId="26" xfId="1" applyFont="1" applyBorder="1"/>
    <xf numFmtId="10" fontId="13" fillId="0" borderId="65" xfId="0" applyNumberFormat="1" applyFont="1" applyBorder="1"/>
    <xf numFmtId="165" fontId="8" fillId="0" borderId="65" xfId="2" applyNumberFormat="1" applyFont="1" applyBorder="1"/>
    <xf numFmtId="0" fontId="10" fillId="0" borderId="64" xfId="0" applyFont="1" applyBorder="1" applyAlignment="1">
      <alignment horizontal="left" wrapText="1"/>
    </xf>
    <xf numFmtId="0" fontId="10" fillId="0" borderId="65" xfId="0" applyFont="1" applyBorder="1" applyAlignment="1">
      <alignment horizontal="left" wrapText="1"/>
    </xf>
    <xf numFmtId="0" fontId="3" fillId="0" borderId="11" xfId="0" applyFont="1" applyBorder="1" applyAlignment="1">
      <alignment horizontal="left"/>
    </xf>
    <xf numFmtId="10" fontId="11" fillId="0" borderId="26" xfId="0" applyNumberFormat="1" applyFont="1" applyBorder="1" applyAlignment="1">
      <alignment horizontal="right"/>
    </xf>
    <xf numFmtId="167" fontId="13" fillId="0" borderId="26" xfId="0" applyNumberFormat="1" applyFont="1" applyBorder="1"/>
    <xf numFmtId="0" fontId="10" fillId="0" borderId="11" xfId="0" applyFont="1" applyBorder="1" applyAlignment="1">
      <alignment horizontal="left" wrapText="1"/>
    </xf>
    <xf numFmtId="0" fontId="10" fillId="0" borderId="26" xfId="0" applyFont="1" applyBorder="1" applyAlignment="1">
      <alignment horizontal="left" wrapText="1"/>
    </xf>
    <xf numFmtId="165" fontId="14" fillId="0" borderId="0" xfId="2" applyNumberFormat="1" applyFont="1" applyBorder="1" applyAlignment="1">
      <alignment horizontal="center"/>
    </xf>
    <xf numFmtId="0" fontId="13" fillId="0" borderId="26" xfId="0" applyFont="1" applyBorder="1"/>
    <xf numFmtId="0" fontId="10" fillId="0" borderId="66" xfId="0" applyFont="1" applyBorder="1" applyAlignment="1">
      <alignment horizontal="left" wrapText="1"/>
    </xf>
    <xf numFmtId="0" fontId="10" fillId="0" borderId="67" xfId="0" applyFont="1" applyBorder="1" applyAlignment="1">
      <alignment horizontal="left" wrapText="1"/>
    </xf>
    <xf numFmtId="0" fontId="14" fillId="0" borderId="26" xfId="0" applyFont="1" applyBorder="1" applyAlignment="1">
      <alignment horizontal="center"/>
    </xf>
    <xf numFmtId="164" fontId="13" fillId="0" borderId="26" xfId="0" applyNumberFormat="1" applyFont="1" applyBorder="1"/>
    <xf numFmtId="165" fontId="15" fillId="5" borderId="61" xfId="2" applyNumberFormat="1" applyFont="1" applyFill="1" applyBorder="1"/>
    <xf numFmtId="0" fontId="3" fillId="5" borderId="63" xfId="0" applyFont="1" applyFill="1" applyBorder="1"/>
    <xf numFmtId="166" fontId="11" fillId="0" borderId="26" xfId="1" applyNumberFormat="1" applyFont="1" applyBorder="1" applyAlignment="1">
      <alignment horizontal="center"/>
    </xf>
    <xf numFmtId="0" fontId="7" fillId="6" borderId="61" xfId="0" applyFont="1" applyFill="1" applyBorder="1" applyAlignment="1">
      <alignment horizontal="left"/>
    </xf>
    <xf numFmtId="0" fontId="7" fillId="6" borderId="62" xfId="0" applyFont="1" applyFill="1" applyBorder="1" applyAlignment="1">
      <alignment horizontal="left"/>
    </xf>
    <xf numFmtId="0" fontId="10" fillId="0" borderId="0" xfId="0" applyFont="1"/>
    <xf numFmtId="10" fontId="14" fillId="0" borderId="26" xfId="0" applyNumberFormat="1" applyFont="1" applyBorder="1" applyAlignment="1">
      <alignment horizontal="center"/>
    </xf>
    <xf numFmtId="165" fontId="13" fillId="0" borderId="0" xfId="0" applyNumberFormat="1" applyFont="1"/>
    <xf numFmtId="0" fontId="3" fillId="0" borderId="42" xfId="0" applyFont="1" applyBorder="1"/>
    <xf numFmtId="10" fontId="8" fillId="0" borderId="67" xfId="0" applyNumberFormat="1" applyFont="1" applyBorder="1"/>
    <xf numFmtId="43" fontId="13" fillId="0" borderId="26" xfId="1" applyFont="1" applyBorder="1"/>
    <xf numFmtId="10" fontId="11" fillId="0" borderId="26" xfId="0" applyNumberFormat="1" applyFont="1" applyBorder="1" applyAlignment="1">
      <alignment horizontal="center"/>
    </xf>
    <xf numFmtId="0" fontId="3" fillId="0" borderId="66" xfId="0" applyFont="1" applyBorder="1" applyAlignment="1">
      <alignment horizontal="left"/>
    </xf>
    <xf numFmtId="0" fontId="3" fillId="0" borderId="42" xfId="0" applyFont="1" applyBorder="1" applyAlignment="1">
      <alignment horizontal="left"/>
    </xf>
    <xf numFmtId="165" fontId="13" fillId="0" borderId="42" xfId="0" applyNumberFormat="1" applyFont="1" applyBorder="1"/>
    <xf numFmtId="165" fontId="8" fillId="0" borderId="26" xfId="0" applyNumberFormat="1" applyFont="1" applyBorder="1"/>
    <xf numFmtId="14" fontId="14" fillId="0" borderId="26" xfId="0" applyNumberFormat="1" applyFont="1" applyBorder="1" applyAlignment="1">
      <alignment horizontal="center"/>
    </xf>
    <xf numFmtId="10" fontId="14" fillId="0" borderId="26" xfId="0" applyNumberFormat="1" applyFont="1" applyBorder="1" applyAlignment="1">
      <alignment horizontal="right"/>
    </xf>
    <xf numFmtId="0" fontId="3" fillId="0" borderId="64" xfId="0" applyFont="1" applyBorder="1"/>
    <xf numFmtId="0" fontId="16" fillId="0" borderId="11" xfId="0" applyFont="1" applyBorder="1"/>
    <xf numFmtId="0" fontId="7" fillId="0" borderId="0" xfId="0" applyFont="1"/>
    <xf numFmtId="14" fontId="14" fillId="0" borderId="67" xfId="0" applyNumberFormat="1" applyFont="1" applyBorder="1" applyAlignment="1">
      <alignment horizontal="center"/>
    </xf>
    <xf numFmtId="0" fontId="3" fillId="0" borderId="66" xfId="0" applyFont="1" applyBorder="1"/>
    <xf numFmtId="10" fontId="11" fillId="0" borderId="67" xfId="0" applyNumberFormat="1" applyFont="1" applyBorder="1" applyAlignment="1">
      <alignment horizontal="right"/>
    </xf>
    <xf numFmtId="165" fontId="8" fillId="0" borderId="67" xfId="0" applyNumberFormat="1" applyFont="1" applyBorder="1"/>
    <xf numFmtId="0" fontId="7" fillId="0" borderId="66" xfId="0" applyFont="1" applyBorder="1"/>
    <xf numFmtId="0" fontId="7" fillId="0" borderId="42" xfId="0" applyFont="1" applyBorder="1"/>
    <xf numFmtId="165" fontId="10" fillId="0" borderId="67" xfId="2" applyNumberFormat="1" applyFont="1" applyBorder="1"/>
    <xf numFmtId="0" fontId="7" fillId="0" borderId="4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5" borderId="61" xfId="0" applyFont="1" applyFill="1" applyBorder="1"/>
    <xf numFmtId="0" fontId="7" fillId="6" borderId="61" xfId="0" applyFont="1" applyFill="1" applyBorder="1" applyAlignment="1">
      <alignment horizontal="center"/>
    </xf>
    <xf numFmtId="0" fontId="7" fillId="6" borderId="62" xfId="0" applyFont="1" applyFill="1" applyBorder="1" applyAlignment="1">
      <alignment horizontal="center"/>
    </xf>
    <xf numFmtId="0" fontId="7" fillId="6" borderId="63" xfId="0" applyFont="1" applyFill="1" applyBorder="1" applyAlignment="1">
      <alignment horizontal="center"/>
    </xf>
    <xf numFmtId="0" fontId="7" fillId="5" borderId="61" xfId="0" applyFont="1" applyFill="1" applyBorder="1" applyAlignment="1">
      <alignment horizontal="left"/>
    </xf>
    <xf numFmtId="0" fontId="7" fillId="5" borderId="62" xfId="0" applyFont="1" applyFill="1" applyBorder="1" applyAlignment="1">
      <alignment horizontal="left"/>
    </xf>
    <xf numFmtId="0" fontId="7" fillId="5" borderId="63" xfId="0" applyFont="1" applyFill="1" applyBorder="1" applyAlignment="1">
      <alignment horizontal="left"/>
    </xf>
    <xf numFmtId="0" fontId="3" fillId="0" borderId="68" xfId="0" applyFont="1" applyBorder="1"/>
    <xf numFmtId="166" fontId="8" fillId="0" borderId="11" xfId="0" applyNumberFormat="1" applyFont="1" applyBorder="1"/>
    <xf numFmtId="166" fontId="8" fillId="0" borderId="0" xfId="0" applyNumberFormat="1" applyFont="1"/>
    <xf numFmtId="166" fontId="8" fillId="0" borderId="26" xfId="0" applyNumberFormat="1" applyFont="1" applyBorder="1"/>
    <xf numFmtId="0" fontId="3" fillId="0" borderId="65" xfId="0" applyFont="1" applyBorder="1" applyAlignment="1">
      <alignment horizontal="left"/>
    </xf>
    <xf numFmtId="0" fontId="3" fillId="0" borderId="69" xfId="0" applyFont="1" applyBorder="1"/>
    <xf numFmtId="0" fontId="3" fillId="0" borderId="26" xfId="0" applyFont="1" applyBorder="1" applyAlignment="1">
      <alignment horizontal="left"/>
    </xf>
    <xf numFmtId="0" fontId="8" fillId="0" borderId="11" xfId="0" applyFont="1" applyBorder="1"/>
    <xf numFmtId="0" fontId="8" fillId="0" borderId="0" xfId="0" applyFont="1"/>
    <xf numFmtId="0" fontId="8" fillId="0" borderId="26" xfId="0" applyFont="1" applyBorder="1"/>
    <xf numFmtId="10" fontId="8" fillId="0" borderId="11" xfId="3" applyNumberFormat="1" applyFont="1" applyBorder="1"/>
    <xf numFmtId="10" fontId="8" fillId="0" borderId="0" xfId="3" applyNumberFormat="1" applyFont="1" applyBorder="1"/>
    <xf numFmtId="10" fontId="8" fillId="0" borderId="26" xfId="3" applyNumberFormat="1" applyFont="1" applyBorder="1"/>
    <xf numFmtId="164" fontId="8" fillId="0" borderId="11" xfId="0" applyNumberFormat="1" applyFont="1" applyBorder="1"/>
    <xf numFmtId="164" fontId="8" fillId="0" borderId="0" xfId="0" applyNumberFormat="1" applyFont="1"/>
    <xf numFmtId="164" fontId="8" fillId="0" borderId="26" xfId="0" applyNumberFormat="1" applyFont="1" applyBorder="1"/>
    <xf numFmtId="0" fontId="3" fillId="0" borderId="26" xfId="0" applyFont="1" applyBorder="1" applyAlignment="1">
      <alignment horizontal="left"/>
    </xf>
    <xf numFmtId="0" fontId="3" fillId="0" borderId="67" xfId="0" applyFont="1" applyBorder="1" applyAlignment="1">
      <alignment horizontal="left"/>
    </xf>
    <xf numFmtId="164" fontId="8" fillId="0" borderId="66" xfId="0" applyNumberFormat="1" applyFont="1" applyBorder="1"/>
    <xf numFmtId="164" fontId="8" fillId="0" borderId="42" xfId="0" applyNumberFormat="1" applyFont="1" applyBorder="1"/>
    <xf numFmtId="164" fontId="8" fillId="0" borderId="67" xfId="0" applyNumberFormat="1" applyFont="1" applyBorder="1"/>
    <xf numFmtId="0" fontId="3" fillId="0" borderId="70" xfId="0" applyFont="1" applyBorder="1"/>
    <xf numFmtId="10" fontId="8" fillId="0" borderId="66" xfId="3" applyNumberFormat="1" applyFont="1" applyBorder="1"/>
    <xf numFmtId="10" fontId="8" fillId="0" borderId="42" xfId="3" applyNumberFormat="1" applyFont="1" applyBorder="1"/>
    <xf numFmtId="10" fontId="8" fillId="0" borderId="67" xfId="3" applyNumberFormat="1" applyFont="1" applyBorder="1"/>
    <xf numFmtId="0" fontId="7" fillId="5" borderId="61" xfId="0" applyFont="1" applyFill="1" applyBorder="1" applyAlignment="1">
      <alignment horizontal="left"/>
    </xf>
    <xf numFmtId="0" fontId="7" fillId="5" borderId="62" xfId="0" applyFont="1" applyFill="1" applyBorder="1" applyAlignment="1">
      <alignment horizontal="left"/>
    </xf>
    <xf numFmtId="0" fontId="7" fillId="5" borderId="63" xfId="0" applyFont="1" applyFill="1" applyBorder="1" applyAlignment="1">
      <alignment horizontal="left"/>
    </xf>
    <xf numFmtId="167" fontId="8" fillId="0" borderId="11" xfId="0" applyNumberFormat="1" applyFont="1" applyBorder="1"/>
    <xf numFmtId="167" fontId="8" fillId="0" borderId="0" xfId="0" applyNumberFormat="1" applyFont="1"/>
    <xf numFmtId="167" fontId="8" fillId="0" borderId="26" xfId="0" applyNumberFormat="1" applyFont="1" applyBorder="1"/>
    <xf numFmtId="0" fontId="7" fillId="5" borderId="64" xfId="0" applyFont="1" applyFill="1" applyBorder="1"/>
    <xf numFmtId="166" fontId="8" fillId="0" borderId="64" xfId="0" applyNumberFormat="1" applyFont="1" applyBorder="1"/>
    <xf numFmtId="166" fontId="8" fillId="0" borderId="37" xfId="0" applyNumberFormat="1" applyFont="1" applyBorder="1"/>
    <xf numFmtId="166" fontId="8" fillId="0" borderId="65" xfId="0" applyNumberFormat="1" applyFont="1" applyBorder="1"/>
    <xf numFmtId="0" fontId="3" fillId="0" borderId="67" xfId="0" applyFont="1" applyBorder="1"/>
    <xf numFmtId="167" fontId="8" fillId="0" borderId="66" xfId="0" applyNumberFormat="1" applyFont="1" applyBorder="1"/>
    <xf numFmtId="167" fontId="8" fillId="0" borderId="42" xfId="0" applyNumberFormat="1" applyFont="1" applyBorder="1"/>
    <xf numFmtId="167" fontId="8" fillId="0" borderId="67" xfId="0" applyNumberFormat="1" applyFont="1" applyBorder="1"/>
    <xf numFmtId="0" fontId="1" fillId="0" borderId="0" xfId="4" applyFill="1"/>
    <xf numFmtId="166" fontId="8" fillId="0" borderId="66" xfId="0" applyNumberFormat="1" applyFont="1" applyBorder="1"/>
    <xf numFmtId="166" fontId="8" fillId="0" borderId="42" xfId="0" applyNumberFormat="1" applyFont="1" applyBorder="1"/>
    <xf numFmtId="166" fontId="8" fillId="0" borderId="67" xfId="0" applyNumberFormat="1" applyFont="1" applyBorder="1"/>
    <xf numFmtId="0" fontId="7" fillId="5" borderId="71" xfId="0" applyFont="1" applyFill="1" applyBorder="1"/>
    <xf numFmtId="0" fontId="7" fillId="6" borderId="37" xfId="0" applyFont="1" applyFill="1" applyBorder="1" applyAlignment="1">
      <alignment horizontal="center"/>
    </xf>
    <xf numFmtId="0" fontId="7" fillId="6" borderId="65" xfId="0" applyFont="1" applyFill="1" applyBorder="1" applyAlignment="1">
      <alignment horizontal="center"/>
    </xf>
    <xf numFmtId="1" fontId="8" fillId="0" borderId="11" xfId="0" applyNumberFormat="1" applyFont="1" applyBorder="1"/>
    <xf numFmtId="1" fontId="8" fillId="0" borderId="0" xfId="0" applyNumberFormat="1" applyFont="1"/>
    <xf numFmtId="1" fontId="8" fillId="0" borderId="26" xfId="0" applyNumberFormat="1" applyFont="1" applyBorder="1"/>
    <xf numFmtId="43" fontId="18" fillId="7" borderId="11" xfId="0" applyNumberFormat="1" applyFont="1" applyFill="1" applyBorder="1"/>
    <xf numFmtId="43" fontId="18" fillId="7" borderId="0" xfId="0" applyNumberFormat="1" applyFont="1" applyFill="1"/>
    <xf numFmtId="43" fontId="18" fillId="7" borderId="26" xfId="0" applyNumberFormat="1" applyFont="1" applyFill="1" applyBorder="1"/>
    <xf numFmtId="0" fontId="7" fillId="0" borderId="69" xfId="0" applyFont="1" applyBorder="1"/>
    <xf numFmtId="166" fontId="10" fillId="0" borderId="11" xfId="0" applyNumberFormat="1" applyFont="1" applyBorder="1"/>
    <xf numFmtId="166" fontId="10" fillId="0" borderId="0" xfId="0" applyNumberFormat="1" applyFont="1"/>
    <xf numFmtId="166" fontId="10" fillId="0" borderId="26" xfId="0" applyNumberFormat="1" applyFont="1" applyBorder="1"/>
    <xf numFmtId="0" fontId="4" fillId="0" borderId="70" xfId="0" applyFont="1" applyBorder="1"/>
    <xf numFmtId="10" fontId="6" fillId="0" borderId="66" xfId="3" applyNumberFormat="1" applyFont="1" applyBorder="1"/>
    <xf numFmtId="10" fontId="6" fillId="0" borderId="42" xfId="3" applyNumberFormat="1" applyFont="1" applyBorder="1"/>
    <xf numFmtId="10" fontId="6" fillId="0" borderId="67" xfId="3" applyNumberFormat="1" applyFont="1" applyBorder="1"/>
    <xf numFmtId="0" fontId="16" fillId="0" borderId="0" xfId="0" applyFont="1"/>
    <xf numFmtId="0" fontId="21" fillId="0" borderId="0" xfId="0" applyFont="1"/>
    <xf numFmtId="0" fontId="19" fillId="0" borderId="0" xfId="0" applyFont="1"/>
  </cellXfs>
  <cellStyles count="5">
    <cellStyle name="Bad" xfId="4" builtinId="27"/>
    <cellStyle name="Comma" xfId="1" builtinId="3"/>
    <cellStyle name="Currency" xfId="2" builtinId="4"/>
    <cellStyle name="Normal" xfId="0" builtinId="0"/>
    <cellStyle name="Percent" xfId="3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haqster220/Library/Mail%20Downloads/5.02.05%20Cherrywood%20&amp;%20Ranchstone%20-%20Underwriting%20-%20BASE%20CAS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ockmadc1/users/USERS/ACQUIRE/Apartments/PACPLZA/PCPLZ3A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ion/Documents/Consulting/Venn/P&amp;L%20-%20Before%20and%20After%20-%20Updated.xlsx" TargetMode="External"/><Relationship Id="rId1" Type="http://schemas.openxmlformats.org/officeDocument/2006/relationships/externalLinkPath" Target="/Users/Zion/Documents/Consulting/Venn/P&amp;L%20-%20Before%20and%20After%20-%20Update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haqster220/Library/Mail%20Downloads/09.27.05%20-%20The%20Tides%20-%20Underwriting%20-%20BASE%20CASE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haqster220/Library/Mail%20Downloads/Oxnard%20Consolidated%207-21%20-%20$81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01/Users/Personal%20Files/Mark%20B/Misc/Raft/Master%20Model%20Development%20-%20UW%208.27.1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/Acquisitions%20&amp;%20Development/Company%20Level%20Reports/Monthly%20Reporting/CGI%20Monthly%20Reports%209.1.16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CA/ACarr/Documents/Greystone%20Express%20Docs%20ONLY/Application%20Express%20with%20exhibits%2002270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CA/ACarr/Documents%20and%20Settings/jdempsey/My%20Documents/Fannie%20Processing%20Package%20Example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zperets/My%20SecuriSync/Portfolio/Hilgard%20Bliss%20Apts,%20LLC/Property%20Management/Property%20Reporting/Hilgard%20Daily%20Report%2011.1.17.xlsm" TargetMode="External"/><Relationship Id="rId1" Type="http://schemas.openxmlformats.org/officeDocument/2006/relationships/externalLinkPath" Target="file:///C:/Users/zperets/My%20SecuriSync/Portfolio/Hilgard%20Bliss%20Apts,%20LLC/Property%20Management/Property%20Reporting/Hilgard%20Daily%20Report%2011.1.17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rockmadc1/users/EXCEL/derf98/2000/VOC/JUL9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01/Users/MBrown/Misc/Raft/Master%20UW%20Model%20-%20Value%20Ad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/Portfolio/Villas%20On%20Briarcliff/Underwriting%20&amp;%20Due%20Diligence/UW/Loan%20Analysis%20April%202016/Loan%20Analysis%204.20.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xecutive Summary"/>
      <sheetName val="Underwriting"/>
      <sheetName val="Inc &amp; Exp Assump (1)"/>
      <sheetName val="Inc &amp; Exp Assump (2)"/>
      <sheetName val="Yr1 Proforma"/>
      <sheetName val="Yr2 Proforma"/>
      <sheetName val="5 YR Capital"/>
      <sheetName val="Historical Comp"/>
      <sheetName val="Amort"/>
      <sheetName val="Closing Costs"/>
      <sheetName val="Promote Calc"/>
      <sheetName val="Monthly Income Statement"/>
      <sheetName val="Prop Performance"/>
      <sheetName val="Comps"/>
      <sheetName val="1Bd1Ba"/>
      <sheetName val="2Bd1Ba"/>
      <sheetName val="2Bd2Ba"/>
      <sheetName val="3Bd2Ba"/>
      <sheetName val="Top Employ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2"/>
      <sheetName val="CF3"/>
      <sheetName val="SALE"/>
      <sheetName val="DETAIL"/>
      <sheetName val="OPXSUM"/>
      <sheetName val="UNITMIX"/>
      <sheetName val="RECUR"/>
      <sheetName val="TURNOVER"/>
      <sheetName val="CAPITAL"/>
      <sheetName val="OTHRINC"/>
      <sheetName val="INDRCTEXP"/>
      <sheetName val="DRCTEXP1"/>
      <sheetName val="DRCTEXP2"/>
      <sheetName val="A"/>
      <sheetName val="Assumptions"/>
      <sheetName val="ASSETS"/>
      <sheetName val="recv"/>
      <sheetName val="Dropdowns"/>
      <sheetName val="CATEGORIES AND LISTS"/>
      <sheetName val="Inputs"/>
      <sheetName val="Drop down list"/>
      <sheetName val="List"/>
      <sheetName val="Premium Request"/>
      <sheetName val="QuoteSheetLinkedValuesMap"/>
      <sheetName val="Commitments"/>
      <sheetName val="Property Collateral"/>
      <sheetName val="Participants"/>
      <sheetName val="Loans"/>
      <sheetName val="Pools"/>
      <sheetName val="Property Collateral (2)"/>
      <sheetName val="Participants (2)"/>
      <sheetName val="Loans - Floating"/>
      <sheetName val="Loans - Fixed Rate"/>
      <sheetName val="Floating"/>
      <sheetName val="Fixed Rate"/>
      <sheetName val="Narrative Summary"/>
      <sheetName val="CMC Approval"/>
      <sheetName val="Narrative Worksheet"/>
      <sheetName val="Sponsor_Borrower Section"/>
      <sheetName val="Guarantors_KPs"/>
      <sheetName val="GEMSA-Full UW Only"/>
      <sheetName val="Principals"/>
      <sheetName val="DUS Gateway Data"/>
      <sheetName val="Property_Engineering Section"/>
      <sheetName val="Market_Valuation Section"/>
      <sheetName val="Prescreen"/>
      <sheetName val="Prescreen Property_Borrower"/>
      <sheetName val="UW Summary"/>
      <sheetName val="UW Input Sheet"/>
      <sheetName val="Appraisal to UW NCF Variance"/>
      <sheetName val="SARM Summary"/>
      <sheetName val="SARM AMORT"/>
      <sheetName val="Lease-up ProForma"/>
      <sheetName val="Supplemental"/>
      <sheetName val="Deal Matrix"/>
      <sheetName val="Collections"/>
      <sheetName val="Rent Roll"/>
      <sheetName val="erents"/>
      <sheetName val="FNMA Rent Roll"/>
      <sheetName val="RET- Full UW Only"/>
      <sheetName val="Sales Comps"/>
      <sheetName val="Rent Comps-Full UW Only"/>
      <sheetName val="Expense Comp-CMC Portfolio"/>
      <sheetName val="Expense Comp-Full UW Only"/>
      <sheetName val="Fannie Exit Strategy"/>
      <sheetName val="CMC Exit Strategy "/>
      <sheetName val="Participants_input"/>
      <sheetName val="Income and Expense Spreading"/>
      <sheetName val="Standard Rate Lock"/>
      <sheetName val="Actual360 &amp; 30360 Amort schd"/>
      <sheetName val="C&amp;D Summary"/>
      <sheetName val="Sheet1"/>
      <sheetName val="RR Schedule-CMC"/>
      <sheetName val="Sheet2"/>
      <sheetName val="CATEGORIES_AND_LISTS"/>
      <sheetName val="Prompt"/>
      <sheetName val="Select Product"/>
      <sheetName val="Instructions"/>
      <sheetName val="Input Sheet"/>
      <sheetName val="Supplemental Input"/>
      <sheetName val="Supplemental Loan Calc"/>
      <sheetName val="Narrative"/>
      <sheetName val="Quote Scenario #2"/>
      <sheetName val="TAH &amp; Bonds"/>
      <sheetName val="Construction"/>
      <sheetName val="Rent Roll "/>
      <sheetName val="Commercial Rent Roll"/>
      <sheetName val="I&amp;E "/>
      <sheetName val="I&amp;E"/>
      <sheetName val="Operating Statement Detail"/>
      <sheetName val="Unit Occupancy by Acuity"/>
      <sheetName val="Tax Abatements"/>
      <sheetName val="Rent Comps"/>
      <sheetName val="Additional Loan Attributes"/>
      <sheetName val="LstHelper"/>
      <sheetName val="PL Variables Guideline_EX DSCR"/>
      <sheetName val="PD Variables Guideline_EX DSCR"/>
      <sheetName val="Proforma"/>
      <sheetName val="Introduction"/>
      <sheetName val="Pre App-Questionnaire (Freddie)"/>
      <sheetName val="Pre App-Questionnaire (Fannie)"/>
      <sheetName val="NSS Inputs"/>
      <sheetName val="Income Statements"/>
      <sheetName val="UW"/>
      <sheetName val="Pricing Freddie"/>
      <sheetName val="Look Up Tables (New)"/>
      <sheetName val="Formula Population Test"/>
      <sheetName val="Hidden Tabs"/>
      <sheetName val="Dropdowns (New)"/>
      <sheetName val="Historical Pricing Grids"/>
      <sheetName val="Amorts Freddie"/>
      <sheetName val="Look Up Tables (Fannie)"/>
      <sheetName val="Dropdowns (Fannie)"/>
      <sheetName val="Counties"/>
      <sheetName val="Pricing Fannie"/>
      <sheetName val="Amorts Fannie"/>
      <sheetName val="Loan Committee"/>
      <sheetName val="Fannie Exit Strategy (2)"/>
      <sheetName val="Pricing Quotes"/>
      <sheetName val="Actual360 &amp; 30360 Fannie"/>
      <sheetName val="Actual360 &amp; 30360 Fannie (2)"/>
      <sheetName val="CMC Exit Strategy"/>
      <sheetName val="Actual360 &amp; 30360 Fannie (3)"/>
      <sheetName val="Fannie Exit Strategy (3)"/>
      <sheetName val="SBL Exception Request Freddie"/>
      <sheetName val="Historical Pricing Grids-Fannie"/>
      <sheetName val="SML Execption Request Fannie"/>
      <sheetName val="Programs and Zipcodes"/>
      <sheetName val="Sales Reps"/>
      <sheetName val="Module1"/>
      <sheetName val="Cash Forecast PLC II"/>
      <sheetName val="tables_graphs"/>
    </sheetNames>
    <sheetDataSet>
      <sheetData sheetId="0" refreshError="1"/>
      <sheetData sheetId="1" refreshError="1"/>
      <sheetData sheetId="2" refreshError="1"/>
      <sheetData sheetId="3" refreshError="1">
        <row r="7">
          <cell r="F7" t="str">
            <v>CONSERVATIVE TEN-YEAR CASH FLOW ASSUMPTIONS</v>
          </cell>
        </row>
        <row r="8">
          <cell r="F8" t="str">
            <v>For the year ending December 31st</v>
          </cell>
        </row>
        <row r="9">
          <cell r="F9" t="str">
            <v>Occupancy</v>
          </cell>
        </row>
        <row r="14">
          <cell r="F14" t="str">
            <v>Growth  Rates</v>
          </cell>
        </row>
        <row r="15">
          <cell r="J15">
            <v>0.1188138518197471</v>
          </cell>
          <cell r="K15">
            <v>0.1239356920515069</v>
          </cell>
        </row>
        <row r="18">
          <cell r="F18" t="str">
            <v>Rental  Rates</v>
          </cell>
        </row>
        <row r="21">
          <cell r="F21" t="str">
            <v>Rental  Rates  PSF</v>
          </cell>
        </row>
        <row r="25">
          <cell r="F25" t="str">
            <v>TEN-YEAR PROFORMA</v>
          </cell>
        </row>
        <row r="26">
          <cell r="F26" t="str">
            <v>REVENUE</v>
          </cell>
        </row>
        <row r="39">
          <cell r="F39" t="str">
            <v>GROSS INCOME</v>
          </cell>
        </row>
        <row r="43">
          <cell r="F43" t="str">
            <v>OPERATING EXPENSES</v>
          </cell>
        </row>
        <row r="49">
          <cell r="F49" t="str">
            <v>TOTAL OPERATING EXPENSES</v>
          </cell>
        </row>
        <row r="51">
          <cell r="F51" t="str">
            <v>Recurring Capital</v>
          </cell>
        </row>
        <row r="53">
          <cell r="F53" t="str">
            <v>NET OPERATING INCOME</v>
          </cell>
        </row>
        <row r="56">
          <cell r="F56" t="str">
            <v xml:space="preserve">Note 1:  It is assumed that 80% of the units roll to Market Rent from 1999 to 2003 on a straight line basis.  Rental Income growth increases each year from 1999 to 2003 </v>
          </cell>
        </row>
        <row r="57">
          <cell r="F57" t="str">
            <v xml:space="preserve">because the spread between units that have not turned and market rents is widening. </v>
          </cell>
        </row>
        <row r="58">
          <cell r="F58" t="str">
            <v>Note 2:  Market Rent grows at 4%.  This assumes a full renovation of the common areas and units.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4">
          <cell r="E4" t="str">
            <v>0.50% from $20MM to $50MM (min of $160,000)</v>
          </cell>
        </row>
      </sheetData>
      <sheetData sheetId="23"/>
      <sheetData sheetId="24">
        <row r="4">
          <cell r="E4" t="str">
            <v>0.50% from $20MM to $50MM (min of $160,000)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>
        <row r="5">
          <cell r="E5" t="str">
            <v>Selected Option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cast IQ"/>
      <sheetName val="Summary"/>
      <sheetName val="Potential Replacement "/>
      <sheetName val="Detail"/>
      <sheetName val="Calendar"/>
      <sheetName val="Pricing"/>
      <sheetName val="Sellling Map"/>
      <sheetName val="Summary Chart"/>
      <sheetName val="Agenda - Israel"/>
      <sheetName val="P&amp;L - Before &amp; After"/>
      <sheetName val="NASA Dashboard"/>
      <sheetName val="Maintenance Dashboard"/>
      <sheetName val="Value Calculation"/>
      <sheetName val="Final Excel "/>
      <sheetName val="Final Excel Calc"/>
      <sheetName val="Current Products"/>
    </sheetNames>
    <sheetDataSet>
      <sheetData sheetId="0"/>
      <sheetData sheetId="1"/>
      <sheetData sheetId="2"/>
      <sheetData sheetId="3"/>
      <sheetData sheetId="4">
        <row r="7">
          <cell r="I7">
            <v>101</v>
          </cell>
        </row>
        <row r="8">
          <cell r="I8">
            <v>102</v>
          </cell>
        </row>
        <row r="9">
          <cell r="I9">
            <v>103</v>
          </cell>
        </row>
        <row r="10">
          <cell r="I10">
            <v>104</v>
          </cell>
        </row>
        <row r="11">
          <cell r="I11">
            <v>105</v>
          </cell>
        </row>
        <row r="12">
          <cell r="I12">
            <v>106</v>
          </cell>
        </row>
        <row r="13">
          <cell r="I13">
            <v>107</v>
          </cell>
        </row>
        <row r="14">
          <cell r="I14">
            <v>108</v>
          </cell>
        </row>
        <row r="15">
          <cell r="I15">
            <v>109</v>
          </cell>
        </row>
        <row r="16">
          <cell r="I16">
            <v>110</v>
          </cell>
        </row>
        <row r="17">
          <cell r="I17">
            <v>111</v>
          </cell>
        </row>
        <row r="18">
          <cell r="I18">
            <v>112</v>
          </cell>
        </row>
        <row r="19">
          <cell r="I19">
            <v>113</v>
          </cell>
        </row>
        <row r="20">
          <cell r="I20">
            <v>114</v>
          </cell>
        </row>
        <row r="21">
          <cell r="I21">
            <v>115</v>
          </cell>
        </row>
        <row r="22">
          <cell r="I22">
            <v>116</v>
          </cell>
        </row>
        <row r="23">
          <cell r="I23">
            <v>117</v>
          </cell>
        </row>
        <row r="24">
          <cell r="I24">
            <v>201</v>
          </cell>
        </row>
        <row r="25">
          <cell r="I25">
            <v>202</v>
          </cell>
        </row>
        <row r="26">
          <cell r="I26">
            <v>203</v>
          </cell>
        </row>
        <row r="27">
          <cell r="I27">
            <v>204</v>
          </cell>
        </row>
        <row r="28">
          <cell r="I28">
            <v>205</v>
          </cell>
        </row>
        <row r="29">
          <cell r="I29">
            <v>206</v>
          </cell>
        </row>
        <row r="30">
          <cell r="I30">
            <v>207</v>
          </cell>
        </row>
        <row r="31">
          <cell r="I31">
            <v>208</v>
          </cell>
        </row>
        <row r="32">
          <cell r="I32">
            <v>209</v>
          </cell>
        </row>
        <row r="33">
          <cell r="I33">
            <v>210</v>
          </cell>
        </row>
        <row r="34">
          <cell r="I34">
            <v>211</v>
          </cell>
        </row>
        <row r="35">
          <cell r="I35">
            <v>212</v>
          </cell>
        </row>
        <row r="36">
          <cell r="I36">
            <v>213</v>
          </cell>
        </row>
        <row r="37">
          <cell r="I37">
            <v>214</v>
          </cell>
        </row>
        <row r="38">
          <cell r="I38">
            <v>215</v>
          </cell>
        </row>
        <row r="39">
          <cell r="I39">
            <v>216</v>
          </cell>
        </row>
        <row r="40">
          <cell r="I40">
            <v>217</v>
          </cell>
        </row>
        <row r="41">
          <cell r="I41">
            <v>301</v>
          </cell>
        </row>
        <row r="42">
          <cell r="I42">
            <v>302</v>
          </cell>
        </row>
        <row r="43">
          <cell r="I43">
            <v>303</v>
          </cell>
        </row>
        <row r="44">
          <cell r="I44">
            <v>304</v>
          </cell>
        </row>
        <row r="45">
          <cell r="I45">
            <v>305</v>
          </cell>
        </row>
        <row r="46">
          <cell r="I46">
            <v>306</v>
          </cell>
        </row>
        <row r="47">
          <cell r="I47">
            <v>307</v>
          </cell>
        </row>
        <row r="48">
          <cell r="I48">
            <v>308</v>
          </cell>
        </row>
        <row r="49">
          <cell r="I49">
            <v>309</v>
          </cell>
        </row>
        <row r="50">
          <cell r="I50">
            <v>310</v>
          </cell>
        </row>
        <row r="51">
          <cell r="I51">
            <v>311</v>
          </cell>
        </row>
        <row r="52">
          <cell r="I52">
            <v>312</v>
          </cell>
        </row>
        <row r="53">
          <cell r="I53">
            <v>313</v>
          </cell>
        </row>
        <row r="54">
          <cell r="I54">
            <v>314</v>
          </cell>
        </row>
        <row r="55">
          <cell r="I55">
            <v>315</v>
          </cell>
        </row>
        <row r="56">
          <cell r="I56">
            <v>316</v>
          </cell>
        </row>
        <row r="57">
          <cell r="I57">
            <v>317</v>
          </cell>
        </row>
        <row r="58">
          <cell r="I58">
            <v>409</v>
          </cell>
        </row>
        <row r="59">
          <cell r="I59">
            <v>410</v>
          </cell>
        </row>
        <row r="60">
          <cell r="I60">
            <v>411</v>
          </cell>
        </row>
        <row r="61">
          <cell r="I61">
            <v>412</v>
          </cell>
        </row>
        <row r="62">
          <cell r="I62">
            <v>413</v>
          </cell>
        </row>
        <row r="63">
          <cell r="I63">
            <v>414</v>
          </cell>
        </row>
        <row r="64">
          <cell r="I64">
            <v>415</v>
          </cell>
        </row>
        <row r="65">
          <cell r="I65">
            <v>416</v>
          </cell>
        </row>
        <row r="66">
          <cell r="I66">
            <v>417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Underwriting"/>
      <sheetName val="Inc &amp; Exp Assump (1)"/>
      <sheetName val="Inc &amp; Exp Assump (2)"/>
      <sheetName val="Yr1 Proforma"/>
      <sheetName val="Yr2 Proforma"/>
      <sheetName val="5 YR Capital"/>
      <sheetName val="Historical Comp"/>
      <sheetName val="TTM Monthly"/>
      <sheetName val="Amort"/>
      <sheetName val="Closing Costs"/>
      <sheetName val="Promote Calc"/>
      <sheetName val="Monthly Income Statement"/>
      <sheetName val="Prop Performance"/>
      <sheetName val="Comps"/>
      <sheetName val="1Bd1Ba"/>
      <sheetName val="2Bd1Ba"/>
      <sheetName val="2Bd2Ba"/>
      <sheetName val="3Bd2Ba"/>
      <sheetName val="Bridgeport"/>
      <sheetName val="Top Employer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"/>
      <sheetName val="Executive Summary"/>
      <sheetName val="Portfolio 10Yr Proforma"/>
      <sheetName val="Portfolio Amort"/>
      <sheetName val="Portfolio CC"/>
      <sheetName val="Promote Calc"/>
      <sheetName val="Monthly Income Statement"/>
      <sheetName val="Portfolio YR1 Proforma"/>
      <sheetName val="Sensitivity"/>
      <sheetName val="Comps"/>
      <sheetName val="Studio"/>
      <sheetName val="1Bd1Ba"/>
      <sheetName val="2Bd2Ba"/>
      <sheetName val="Apt Underwriting"/>
      <sheetName val="Apt Inc &amp; Exp Assump"/>
      <sheetName val="Apt Yr1 Proforma"/>
      <sheetName val="Apt Hist"/>
      <sheetName val="Apt 5-Yr Cap"/>
      <sheetName val="V UW"/>
      <sheetName val="V Inc &amp; Exp"/>
      <sheetName val="V Yr1 Proforma"/>
      <sheetName val="V Hist"/>
      <sheetName val="V 5Yr Cap"/>
      <sheetName val="A UW"/>
      <sheetName val="V CC"/>
      <sheetName val="V Amort"/>
      <sheetName val="A Inc &amp; Exp"/>
      <sheetName val="A Yr1 Proforma"/>
      <sheetName val="A Hist"/>
      <sheetName val="A 5Yr Cap"/>
      <sheetName val="A CC"/>
      <sheetName val="A Amort Calc"/>
      <sheetName val="B UW"/>
      <sheetName val="B Inc &amp; Exp"/>
      <sheetName val="B Yr1 Proforma"/>
      <sheetName val="B Hist"/>
      <sheetName val="B 5-Yr Cap"/>
      <sheetName val="B CC"/>
      <sheetName val="Marinas UW"/>
      <sheetName val="Marina Comps"/>
      <sheetName val="Marinas Hist"/>
      <sheetName val="Marinas Inc &amp; Exp"/>
      <sheetName val="Marinas Yr 1 Proforma"/>
      <sheetName val="Marinas Amort"/>
      <sheetName val="Hotel Hist"/>
      <sheetName val="Marina 5-Yr Cap"/>
      <sheetName val="Hotel UW"/>
      <sheetName val="Hotel YR1 Proforma"/>
      <sheetName val="Hotel 5-Yr Cap"/>
      <sheetName val="Data Input Sheet"/>
      <sheetName val="Lease Terms"/>
      <sheetName val="Hotel Am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UW - Condo"/>
      <sheetName val="Condo Comps"/>
      <sheetName val="UW - Apt"/>
      <sheetName val="Year 2 - Stabilization"/>
      <sheetName val="Project Costs"/>
      <sheetName val="Presentation"/>
      <sheetName val="Waterfall"/>
      <sheetName val="Rent Comps"/>
      <sheetName val="Loans"/>
      <sheetName val="Zoning Guidelines"/>
    </sheetNames>
    <sheetDataSet>
      <sheetData sheetId="0"/>
      <sheetData sheetId="1"/>
      <sheetData sheetId="2"/>
      <sheetData sheetId="3">
        <row r="12">
          <cell r="BB12" t="str">
            <v>Quick Calc.</v>
          </cell>
        </row>
        <row r="13">
          <cell r="BB13" t="str">
            <v>Detailed</v>
          </cell>
        </row>
        <row r="15">
          <cell r="BC15">
            <v>0</v>
          </cell>
          <cell r="BD15">
            <v>0.2</v>
          </cell>
          <cell r="BE15">
            <v>0.22500000000000001</v>
          </cell>
          <cell r="BF15">
            <v>0.25</v>
          </cell>
          <cell r="BG15">
            <v>0.27500000000000002</v>
          </cell>
          <cell r="BH15">
            <v>0.3</v>
          </cell>
          <cell r="BI15">
            <v>0.32500000000000001</v>
          </cell>
          <cell r="BJ15">
            <v>0.35</v>
          </cell>
        </row>
        <row r="21">
          <cell r="C21">
            <v>4000000</v>
          </cell>
        </row>
        <row r="25">
          <cell r="I25">
            <v>2000000</v>
          </cell>
        </row>
        <row r="26">
          <cell r="I26">
            <v>1</v>
          </cell>
        </row>
        <row r="28">
          <cell r="I28">
            <v>4.4999999999999998E-2</v>
          </cell>
          <cell r="BB28">
            <v>1</v>
          </cell>
          <cell r="BC28">
            <v>0</v>
          </cell>
          <cell r="BD28">
            <v>0</v>
          </cell>
        </row>
        <row r="29">
          <cell r="BB29">
            <v>2</v>
          </cell>
          <cell r="BC29">
            <v>1</v>
          </cell>
          <cell r="BD29">
            <v>1</v>
          </cell>
        </row>
        <row r="30">
          <cell r="J30">
            <v>14000000</v>
          </cell>
          <cell r="BB30">
            <v>3</v>
          </cell>
          <cell r="BC30">
            <v>2</v>
          </cell>
          <cell r="BD30">
            <v>2</v>
          </cell>
        </row>
        <row r="31">
          <cell r="I31">
            <v>2</v>
          </cell>
          <cell r="BB31">
            <v>4</v>
          </cell>
          <cell r="BC31">
            <v>3</v>
          </cell>
          <cell r="BD31">
            <v>3</v>
          </cell>
        </row>
        <row r="32">
          <cell r="BB32">
            <v>5</v>
          </cell>
          <cell r="BC32">
            <v>4</v>
          </cell>
          <cell r="BD32">
            <v>4</v>
          </cell>
        </row>
        <row r="33">
          <cell r="I33">
            <v>4.4999999999999998E-2</v>
          </cell>
          <cell r="BB33">
            <v>6</v>
          </cell>
          <cell r="BC33">
            <v>5</v>
          </cell>
          <cell r="BD33">
            <v>5</v>
          </cell>
        </row>
        <row r="34">
          <cell r="J34">
            <v>0.55000000000000004</v>
          </cell>
          <cell r="BB34">
            <v>7</v>
          </cell>
          <cell r="BC34">
            <v>6</v>
          </cell>
          <cell r="BD34">
            <v>6</v>
          </cell>
        </row>
        <row r="35">
          <cell r="BB35">
            <v>8</v>
          </cell>
          <cell r="BC35">
            <v>7</v>
          </cell>
          <cell r="BD35">
            <v>7</v>
          </cell>
        </row>
        <row r="36">
          <cell r="BC36">
            <v>8</v>
          </cell>
          <cell r="BD36">
            <v>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RE &amp; Loan Schedules"/>
      <sheetName val="Bar Graph"/>
      <sheetName val="Deal Profit"/>
      <sheetName val="Promote"/>
      <sheetName val="Dispositions"/>
      <sheetName val="Daily Dev Cost "/>
      <sheetName val="Dev Progress"/>
      <sheetName val="Sheet1"/>
      <sheetName val="Condensed RE Sched."/>
    </sheetNames>
    <sheetDataSet>
      <sheetData sheetId="0"/>
      <sheetData sheetId="1">
        <row r="6">
          <cell r="D6" t="str">
            <v>California Income Producing</v>
          </cell>
        </row>
        <row r="7">
          <cell r="D7" t="str">
            <v>Francis</v>
          </cell>
        </row>
        <row r="8">
          <cell r="D8" t="str">
            <v>888 Hilgard</v>
          </cell>
        </row>
        <row r="9">
          <cell r="D9" t="str">
            <v>California Development</v>
          </cell>
        </row>
        <row r="10">
          <cell r="D10" t="str">
            <v>Sunset</v>
          </cell>
        </row>
        <row r="11">
          <cell r="D11" t="str">
            <v xml:space="preserve">Villa Carlotta </v>
          </cell>
        </row>
        <row r="12">
          <cell r="D12" t="str">
            <v>Villa C Duplex</v>
          </cell>
        </row>
        <row r="13">
          <cell r="D13" t="str">
            <v>Mariposa</v>
          </cell>
        </row>
        <row r="14">
          <cell r="D14" t="str">
            <v>La Brea</v>
          </cell>
        </row>
        <row r="15">
          <cell r="D15" t="str">
            <v>Beverly (JV)</v>
          </cell>
        </row>
        <row r="16">
          <cell r="D16" t="str">
            <v>California Single Family Residential</v>
          </cell>
        </row>
        <row r="17">
          <cell r="D17" t="str">
            <v>Hollyline (JV)</v>
          </cell>
        </row>
        <row r="18">
          <cell r="D18" t="str">
            <v>Fairview</v>
          </cell>
        </row>
        <row r="19">
          <cell r="D19" t="str">
            <v>Gardner</v>
          </cell>
        </row>
        <row r="20">
          <cell r="D20" t="str">
            <v>Sandal</v>
          </cell>
        </row>
        <row r="21">
          <cell r="D21" t="str">
            <v>Rancho</v>
          </cell>
        </row>
        <row r="22">
          <cell r="D22" t="str">
            <v>Fruitland</v>
          </cell>
        </row>
        <row r="23">
          <cell r="D23" t="str">
            <v>327 E Lanzit</v>
          </cell>
        </row>
        <row r="24">
          <cell r="D24" t="str">
            <v>1386 E 55 St</v>
          </cell>
        </row>
        <row r="25">
          <cell r="D25" t="str">
            <v>1500 W 50th St</v>
          </cell>
        </row>
        <row r="26">
          <cell r="D26" t="str">
            <v>1260 E 49th St</v>
          </cell>
        </row>
        <row r="27">
          <cell r="D27" t="str">
            <v>1026 E 23rd St</v>
          </cell>
        </row>
        <row r="28">
          <cell r="D28" t="str">
            <v>441 W 69th St</v>
          </cell>
        </row>
        <row r="29">
          <cell r="D29" t="str">
            <v>1212 E 54th St</v>
          </cell>
        </row>
        <row r="30">
          <cell r="D30" t="str">
            <v>234 W 78th St</v>
          </cell>
        </row>
        <row r="31">
          <cell r="D31" t="str">
            <v>222 W 62nd St</v>
          </cell>
        </row>
        <row r="32">
          <cell r="D32" t="str">
            <v>1175 E Adams</v>
          </cell>
        </row>
        <row r="33">
          <cell r="D33" t="str">
            <v>1471 W Vernon</v>
          </cell>
        </row>
        <row r="34">
          <cell r="D34" t="str">
            <v>3025 W 60th St</v>
          </cell>
        </row>
        <row r="35">
          <cell r="D35" t="str">
            <v>9118 Manhattan</v>
          </cell>
        </row>
        <row r="36">
          <cell r="D36" t="str">
            <v>9066 Normandie</v>
          </cell>
        </row>
        <row r="37">
          <cell r="D37" t="str">
            <v>10963 S Main</v>
          </cell>
        </row>
        <row r="38">
          <cell r="D38" t="str">
            <v>Fuller</v>
          </cell>
        </row>
        <row r="39">
          <cell r="D39" t="str">
            <v>Laurel Canyon</v>
          </cell>
        </row>
        <row r="40">
          <cell r="D40" t="str">
            <v>New York Development</v>
          </cell>
        </row>
        <row r="41">
          <cell r="D41" t="str">
            <v>St. Marks (JV)</v>
          </cell>
        </row>
        <row r="42">
          <cell r="D42" t="str">
            <v>21st St (JV)</v>
          </cell>
        </row>
        <row r="43">
          <cell r="D43" t="str">
            <v>Bergen (JV)</v>
          </cell>
        </row>
        <row r="44">
          <cell r="D44" t="str">
            <v>318 E 81st St</v>
          </cell>
        </row>
        <row r="45">
          <cell r="D45" t="str">
            <v>613 4th Ave</v>
          </cell>
        </row>
        <row r="46">
          <cell r="D46" t="str">
            <v>Southeast Income Producing</v>
          </cell>
        </row>
        <row r="47">
          <cell r="D47" t="str">
            <v>Tierra Vista</v>
          </cell>
        </row>
        <row r="49">
          <cell r="D49" t="str">
            <v>City Walk</v>
          </cell>
        </row>
        <row r="51">
          <cell r="D51" t="str">
            <v>Valencia Park</v>
          </cell>
        </row>
        <row r="53">
          <cell r="D53" t="str">
            <v>Briarcliff</v>
          </cell>
        </row>
        <row r="54">
          <cell r="D54" t="str">
            <v>Other Commerial Portfolio (Moche)</v>
          </cell>
        </row>
        <row r="55">
          <cell r="D55" t="str">
            <v>Heart Realcorp</v>
          </cell>
        </row>
        <row r="56">
          <cell r="D56" t="str">
            <v>La Mirada</v>
          </cell>
        </row>
        <row r="57">
          <cell r="D57" t="str">
            <v>La Mirada II</v>
          </cell>
        </row>
        <row r="58">
          <cell r="D58" t="str">
            <v>Oyster Creek</v>
          </cell>
        </row>
        <row r="59">
          <cell r="D59" t="str">
            <v>Moor Intl. (BK)</v>
          </cell>
        </row>
        <row r="60">
          <cell r="D60" t="str">
            <v>Abner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Proposal"/>
      <sheetName val="UW Documents Required "/>
      <sheetName val="Loan Questionnaire"/>
      <sheetName val="Multi Certification"/>
      <sheetName val="Insurance authorization"/>
      <sheetName val="Environmental Questionnair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ATA SHEET"/>
      <sheetName val="Required Items UW Notes"/>
      <sheetName val="Required Items"/>
      <sheetName val="Complete POE"/>
      <sheetName val="Lookups"/>
      <sheetName val="BE - Title Page"/>
      <sheetName val="BE - 1"/>
      <sheetName val="BE - 6"/>
      <sheetName val="BE - 7A"/>
      <sheetName val="BE - 8"/>
      <sheetName val="BE - 9A"/>
      <sheetName val="BE - 10"/>
      <sheetName val="BE - 12"/>
      <sheetName val="BE - 13A"/>
      <sheetName val="BE - 13B"/>
      <sheetName val="P&amp;M - Title Page"/>
      <sheetName val="P&amp;M - 16"/>
      <sheetName val="P&amp;M - 17"/>
      <sheetName val="P&amp;M - 18"/>
      <sheetName val="UW - Title Page"/>
      <sheetName val="UW - 25B"/>
      <sheetName val="UW - 25C"/>
      <sheetName val="UW - 26B"/>
      <sheetName val="KP1 - Title Page"/>
      <sheetName val="KP1 - 6"/>
      <sheetName val="KP1 - 7A"/>
      <sheetName val="KP1 - 9A"/>
      <sheetName val="KP1 - 10"/>
      <sheetName val="KP1 - 12"/>
      <sheetName val="KP1 - 13A"/>
      <sheetName val="KP1 - 13B"/>
      <sheetName val="KP1 - 14"/>
      <sheetName val="P1 - Title Page"/>
      <sheetName val="P1 - 6"/>
      <sheetName val="P1 - 7A"/>
      <sheetName val="P1 - 9A"/>
      <sheetName val="P1 - 12"/>
      <sheetName val="P2 - 6"/>
      <sheetName val="P2 - 7A"/>
      <sheetName val="P2 - 9A"/>
      <sheetName val="P2 - 12"/>
      <sheetName val="P2 - 13A"/>
      <sheetName val="Last Page"/>
    </sheetNames>
    <sheetDataSet>
      <sheetData sheetId="0"/>
      <sheetData sheetId="1">
        <row r="4">
          <cell r="C4" t="str">
            <v>Village View Apartment</v>
          </cell>
        </row>
      </sheetData>
      <sheetData sheetId="2"/>
      <sheetData sheetId="3"/>
      <sheetData sheetId="4"/>
      <sheetData sheetId="5">
        <row r="1">
          <cell r="A1" t="str">
            <v>Worksheet</v>
          </cell>
          <cell r="B1" t="str">
            <v>ExhibitTitle</v>
          </cell>
          <cell r="C1" t="str">
            <v>Name</v>
          </cell>
          <cell r="D1" t="str">
            <v>ExhibitType</v>
          </cell>
          <cell r="E1" t="str">
            <v>OwnPerc</v>
          </cell>
          <cell r="F1" t="str">
            <v>Title</v>
          </cell>
          <cell r="G1" t="str">
            <v>Text1</v>
          </cell>
          <cell r="H1" t="str">
            <v>Text2</v>
          </cell>
        </row>
        <row r="2">
          <cell r="A2" t="str">
            <v>Title Page</v>
          </cell>
          <cell r="B2" t="str">
            <v>BORROWING ENTITY PACKAGE</v>
          </cell>
          <cell r="C2" t="str">
            <v>Village View Investors, Ltd.</v>
          </cell>
        </row>
        <row r="3">
          <cell r="A3" t="str">
            <v>BE - Title Page</v>
          </cell>
          <cell r="B3" t="str">
            <v>BORROWING ENTITY PACKAGE</v>
          </cell>
          <cell r="C3" t="str">
            <v>Village View Investors, Ltd.</v>
          </cell>
        </row>
        <row r="4">
          <cell r="A4" t="str">
            <v>KP1 - Title Page</v>
          </cell>
          <cell r="B4" t="str">
            <v>KEY PRINCIPAL PACKAGE</v>
          </cell>
          <cell r="C4" t="str">
            <v>John Trefethen</v>
          </cell>
        </row>
        <row r="5">
          <cell r="A5" t="str">
            <v>KP2 - Title Page</v>
          </cell>
          <cell r="B5" t="str">
            <v>KEY PRINCIPAL PACKAGE</v>
          </cell>
          <cell r="C5">
            <v>0</v>
          </cell>
        </row>
        <row r="6">
          <cell r="A6" t="str">
            <v>KP3 - Title Page</v>
          </cell>
          <cell r="B6" t="str">
            <v>KEY PRINCIPAL PACKAGE</v>
          </cell>
          <cell r="C6">
            <v>0</v>
          </cell>
        </row>
        <row r="7">
          <cell r="A7" t="str">
            <v>KP4 - Title Page</v>
          </cell>
          <cell r="B7" t="str">
            <v>KEY PRINCIPAL PACKAGE</v>
          </cell>
          <cell r="C7">
            <v>0</v>
          </cell>
        </row>
        <row r="8">
          <cell r="A8" t="str">
            <v>P1 - Title Page</v>
          </cell>
          <cell r="B8" t="str">
            <v>PRINCIPAL PACKAGE</v>
          </cell>
          <cell r="C8" t="str">
            <v>Village View Investors, Inc.</v>
          </cell>
        </row>
        <row r="9">
          <cell r="A9" t="str">
            <v>P2 - Title Page</v>
          </cell>
          <cell r="B9" t="str">
            <v>PRINCIPAL PACKAGE</v>
          </cell>
          <cell r="C9" t="str">
            <v>Trefethen 1983 Family Trust</v>
          </cell>
        </row>
        <row r="10">
          <cell r="A10" t="str">
            <v>P3 - Title Page</v>
          </cell>
          <cell r="B10" t="str">
            <v>PRINCIPAL PACKAGE</v>
          </cell>
          <cell r="C10">
            <v>0</v>
          </cell>
        </row>
        <row r="11">
          <cell r="A11" t="str">
            <v>P4 - Title Page</v>
          </cell>
          <cell r="B11" t="str">
            <v>PRINCIPAL PACKAGE</v>
          </cell>
          <cell r="C11">
            <v>0</v>
          </cell>
        </row>
        <row r="12">
          <cell r="A12" t="str">
            <v>BE - 4</v>
          </cell>
          <cell r="B12" t="str">
            <v>Village View Investors, Ltd.</v>
          </cell>
          <cell r="C12" t="str">
            <v>Village View Investors, Ltd.</v>
          </cell>
          <cell r="D12" t="str">
            <v>Borrowing Entity,</v>
          </cell>
          <cell r="F12" t="str">
            <v>Upon refinance/acquisition of:</v>
          </cell>
          <cell r="G12" t="str">
            <v>the Borrowing Entity are applicable:</v>
          </cell>
          <cell r="H12" t="str">
            <v>the only asset of the Borrowing Entity will be its ownership interest in the subject property and the only liabilit(y/ies) will be the related debt.</v>
          </cell>
        </row>
        <row r="13">
          <cell r="A13" t="str">
            <v>KP1 - 4</v>
          </cell>
          <cell r="B13">
            <v>0</v>
          </cell>
          <cell r="C13" t="str">
            <v>John Trefethen</v>
          </cell>
          <cell r="D13" t="str">
            <v>Key Principal,</v>
          </cell>
          <cell r="F13">
            <v>0</v>
          </cell>
          <cell r="G13" t="str">
            <v>the Key Principal are applicable:</v>
          </cell>
          <cell r="H13">
            <v>0</v>
          </cell>
        </row>
        <row r="14">
          <cell r="A14" t="str">
            <v>KP2 - 4</v>
          </cell>
          <cell r="B14">
            <v>0</v>
          </cell>
          <cell r="C14">
            <v>0</v>
          </cell>
          <cell r="D14" t="str">
            <v>Key Principal,</v>
          </cell>
          <cell r="F14">
            <v>0</v>
          </cell>
          <cell r="G14" t="str">
            <v>the Key Principal are applicable:</v>
          </cell>
          <cell r="H14">
            <v>0</v>
          </cell>
        </row>
        <row r="15">
          <cell r="A15" t="str">
            <v>KP3 - 4</v>
          </cell>
          <cell r="B15">
            <v>0</v>
          </cell>
          <cell r="C15">
            <v>0</v>
          </cell>
          <cell r="D15" t="str">
            <v>Key Principal,</v>
          </cell>
          <cell r="F15">
            <v>0</v>
          </cell>
          <cell r="G15" t="str">
            <v>the Key Principal are applicable:</v>
          </cell>
          <cell r="H15">
            <v>0</v>
          </cell>
        </row>
        <row r="16">
          <cell r="A16" t="str">
            <v>KP4 - 4</v>
          </cell>
          <cell r="B16">
            <v>0</v>
          </cell>
          <cell r="C16">
            <v>0</v>
          </cell>
          <cell r="D16" t="str">
            <v>Key Principal,</v>
          </cell>
          <cell r="F16">
            <v>0</v>
          </cell>
          <cell r="G16" t="str">
            <v>the Key Principal are applicable:</v>
          </cell>
          <cell r="H16">
            <v>0</v>
          </cell>
        </row>
        <row r="17">
          <cell r="A17" t="str">
            <v>P1 - 4</v>
          </cell>
          <cell r="B17">
            <v>0</v>
          </cell>
          <cell r="C17" t="str">
            <v>Village View Investors, Inc.</v>
          </cell>
          <cell r="D17" t="str">
            <v>Principal,</v>
          </cell>
          <cell r="F17">
            <v>0</v>
          </cell>
          <cell r="G17" t="str">
            <v>the Principal are applicable:</v>
          </cell>
          <cell r="H17">
            <v>0</v>
          </cell>
        </row>
        <row r="18">
          <cell r="A18" t="str">
            <v>P2 - 4</v>
          </cell>
          <cell r="B18">
            <v>0</v>
          </cell>
          <cell r="C18" t="str">
            <v>Trefethen 1983 Family Trust</v>
          </cell>
          <cell r="D18" t="str">
            <v>Principal,</v>
          </cell>
          <cell r="F18">
            <v>0</v>
          </cell>
          <cell r="G18" t="str">
            <v>the Principal are applicable:</v>
          </cell>
          <cell r="H18">
            <v>0</v>
          </cell>
        </row>
        <row r="19">
          <cell r="A19" t="str">
            <v>P3 - 4</v>
          </cell>
          <cell r="B19">
            <v>0</v>
          </cell>
          <cell r="C19">
            <v>0</v>
          </cell>
          <cell r="D19" t="str">
            <v>Principal,</v>
          </cell>
          <cell r="F19">
            <v>0</v>
          </cell>
          <cell r="G19" t="str">
            <v>the Principal are applicable:</v>
          </cell>
          <cell r="H19">
            <v>0</v>
          </cell>
        </row>
        <row r="20">
          <cell r="A20" t="str">
            <v>P4 - 4</v>
          </cell>
          <cell r="B20">
            <v>0</v>
          </cell>
          <cell r="C20">
            <v>0</v>
          </cell>
          <cell r="D20" t="str">
            <v>Principal,</v>
          </cell>
          <cell r="F20">
            <v>0</v>
          </cell>
          <cell r="G20" t="str">
            <v>the Principal are applicable:</v>
          </cell>
          <cell r="H20">
            <v>0</v>
          </cell>
        </row>
        <row r="21">
          <cell r="A21" t="str">
            <v>BE - 6</v>
          </cell>
          <cell r="B21">
            <v>0</v>
          </cell>
          <cell r="C21" t="str">
            <v>Village View Investors, Ltd.</v>
          </cell>
          <cell r="D21" t="str">
            <v>Borrowing Entity:</v>
          </cell>
          <cell r="E21">
            <v>1</v>
          </cell>
          <cell r="F21" t="str">
            <v>Borrower</v>
          </cell>
        </row>
        <row r="22">
          <cell r="A22" t="str">
            <v>KP1 - 6</v>
          </cell>
          <cell r="C22" t="str">
            <v>John Trefethen</v>
          </cell>
          <cell r="D22" t="str">
            <v>Key Principal:</v>
          </cell>
          <cell r="E22">
            <v>3.3006000000000001E-2</v>
          </cell>
          <cell r="F22" t="str">
            <v>Limited Partner</v>
          </cell>
        </row>
        <row r="23">
          <cell r="A23" t="str">
            <v>KP2 - 6</v>
          </cell>
          <cell r="C23">
            <v>0</v>
          </cell>
          <cell r="D23" t="str">
            <v>Key Principal:</v>
          </cell>
          <cell r="E23">
            <v>0</v>
          </cell>
          <cell r="F23" t="str">
            <v>Limited Partner</v>
          </cell>
        </row>
        <row r="24">
          <cell r="A24" t="str">
            <v>KP3 - 6</v>
          </cell>
          <cell r="C24">
            <v>0</v>
          </cell>
          <cell r="D24" t="str">
            <v>Key Principal:</v>
          </cell>
          <cell r="E24">
            <v>0</v>
          </cell>
          <cell r="F24" t="str">
            <v>Limited Partner</v>
          </cell>
        </row>
        <row r="25">
          <cell r="A25" t="str">
            <v>KP4 - 6</v>
          </cell>
          <cell r="C25">
            <v>0</v>
          </cell>
          <cell r="D25" t="str">
            <v>Key Principal:</v>
          </cell>
          <cell r="E25">
            <v>0</v>
          </cell>
          <cell r="F25" t="str">
            <v>Limited Partner</v>
          </cell>
        </row>
        <row r="26">
          <cell r="A26" t="str">
            <v>P1 - 6</v>
          </cell>
          <cell r="C26" t="str">
            <v>Village View Investors, Inc.</v>
          </cell>
          <cell r="D26" t="str">
            <v>Principal:</v>
          </cell>
          <cell r="E26">
            <v>2.7383999999999999E-2</v>
          </cell>
          <cell r="F26" t="str">
            <v>General Partner</v>
          </cell>
        </row>
        <row r="27">
          <cell r="A27" t="str">
            <v>P2 - 6</v>
          </cell>
          <cell r="C27" t="str">
            <v>Trefethen 1983 Family Trust</v>
          </cell>
          <cell r="D27" t="str">
            <v>Principal:</v>
          </cell>
          <cell r="E27">
            <v>0.86508399999999996</v>
          </cell>
          <cell r="F27" t="str">
            <v>Limited Partner</v>
          </cell>
        </row>
        <row r="28">
          <cell r="A28" t="str">
            <v>P3 - 6</v>
          </cell>
          <cell r="C28">
            <v>0</v>
          </cell>
          <cell r="D28" t="str">
            <v>Principal:</v>
          </cell>
          <cell r="E28">
            <v>0</v>
          </cell>
          <cell r="F28">
            <v>0</v>
          </cell>
        </row>
        <row r="29">
          <cell r="A29" t="str">
            <v>P4 - 6</v>
          </cell>
          <cell r="C29">
            <v>0</v>
          </cell>
          <cell r="D29" t="str">
            <v>Principal:</v>
          </cell>
          <cell r="E29">
            <v>0</v>
          </cell>
          <cell r="F29">
            <v>0</v>
          </cell>
        </row>
        <row r="30">
          <cell r="A30" t="str">
            <v>BE - 7A</v>
          </cell>
          <cell r="C30" t="str">
            <v>Village View Investors, Ltd.</v>
          </cell>
          <cell r="D30" t="str">
            <v>Borrowing Entity</v>
          </cell>
        </row>
        <row r="31">
          <cell r="A31" t="str">
            <v>KP1 - 7A</v>
          </cell>
          <cell r="C31" t="str">
            <v>John Trefethen</v>
          </cell>
          <cell r="D31" t="str">
            <v>Key Principal</v>
          </cell>
        </row>
        <row r="32">
          <cell r="A32" t="str">
            <v>KP2 - 7A</v>
          </cell>
          <cell r="C32">
            <v>0</v>
          </cell>
          <cell r="D32" t="str">
            <v>Key Principal</v>
          </cell>
        </row>
        <row r="33">
          <cell r="A33" t="str">
            <v>KP3 - 7A</v>
          </cell>
          <cell r="C33">
            <v>0</v>
          </cell>
          <cell r="D33" t="str">
            <v>Key Principal</v>
          </cell>
        </row>
        <row r="34">
          <cell r="A34" t="str">
            <v>KP4 - 7A</v>
          </cell>
          <cell r="C34">
            <v>0</v>
          </cell>
          <cell r="D34" t="str">
            <v>Key Principal</v>
          </cell>
        </row>
        <row r="35">
          <cell r="A35" t="str">
            <v>P1 - 7A</v>
          </cell>
          <cell r="C35" t="str">
            <v>Village View Investors, Inc.</v>
          </cell>
          <cell r="D35" t="str">
            <v>Principal</v>
          </cell>
        </row>
        <row r="36">
          <cell r="A36" t="str">
            <v>P2 - 7A</v>
          </cell>
          <cell r="C36" t="str">
            <v>Trefethen 1983 Family Trust</v>
          </cell>
          <cell r="D36" t="str">
            <v>Principal</v>
          </cell>
        </row>
        <row r="37">
          <cell r="A37" t="str">
            <v>P3 - 7A</v>
          </cell>
          <cell r="C37">
            <v>0</v>
          </cell>
          <cell r="D37" t="str">
            <v>Principal</v>
          </cell>
        </row>
        <row r="38">
          <cell r="A38" t="str">
            <v>P4 - 7A</v>
          </cell>
          <cell r="C38">
            <v>0</v>
          </cell>
          <cell r="D38" t="str">
            <v>Principal</v>
          </cell>
        </row>
        <row r="39">
          <cell r="A39" t="str">
            <v>BE - 7B</v>
          </cell>
          <cell r="C39" t="str">
            <v>Village View Investors, Ltd.</v>
          </cell>
        </row>
        <row r="40">
          <cell r="A40" t="str">
            <v>KP1 - 7B</v>
          </cell>
          <cell r="C40" t="str">
            <v>John Trefethen</v>
          </cell>
        </row>
        <row r="41">
          <cell r="A41" t="str">
            <v>KP2 - 7B</v>
          </cell>
          <cell r="C41">
            <v>0</v>
          </cell>
        </row>
        <row r="42">
          <cell r="A42" t="str">
            <v>KP3 - 7B</v>
          </cell>
          <cell r="C42">
            <v>0</v>
          </cell>
        </row>
        <row r="43">
          <cell r="A43" t="str">
            <v>KP4 - 7B</v>
          </cell>
          <cell r="C43">
            <v>0</v>
          </cell>
        </row>
        <row r="44">
          <cell r="A44" t="str">
            <v>P1 - 7B</v>
          </cell>
          <cell r="C44" t="str">
            <v>Village View Investors, Inc.</v>
          </cell>
        </row>
        <row r="45">
          <cell r="A45" t="str">
            <v>P2 - 7B</v>
          </cell>
          <cell r="C45" t="str">
            <v>Trefethen 1983 Family Trust</v>
          </cell>
        </row>
        <row r="46">
          <cell r="A46" t="str">
            <v>P3 - 7B</v>
          </cell>
          <cell r="C46">
            <v>0</v>
          </cell>
        </row>
        <row r="47">
          <cell r="A47" t="str">
            <v>P4 - 7B</v>
          </cell>
          <cell r="C47">
            <v>0</v>
          </cell>
        </row>
        <row r="48">
          <cell r="A48" t="str">
            <v>BE - 8</v>
          </cell>
          <cell r="B48" t="str">
            <v>(To be completed by Borrowing Entity)</v>
          </cell>
        </row>
        <row r="49">
          <cell r="A49" t="str">
            <v>KP1 - 8</v>
          </cell>
          <cell r="B49" t="str">
            <v>(To be completed by Key Principal)</v>
          </cell>
        </row>
        <row r="50">
          <cell r="A50" t="str">
            <v>KP2 - 8</v>
          </cell>
          <cell r="B50" t="str">
            <v>(To be completed by Key Principal)</v>
          </cell>
        </row>
        <row r="51">
          <cell r="A51" t="str">
            <v>KP3 - 8</v>
          </cell>
          <cell r="B51" t="str">
            <v>(To be completed by Key Principal)</v>
          </cell>
        </row>
        <row r="52">
          <cell r="A52" t="str">
            <v>KP4 - 8</v>
          </cell>
          <cell r="B52" t="str">
            <v>(To be completed by Key Principal)</v>
          </cell>
        </row>
        <row r="53">
          <cell r="A53" t="str">
            <v>P1 - 8</v>
          </cell>
          <cell r="B53" t="str">
            <v>(To be completed by Principal)</v>
          </cell>
        </row>
        <row r="54">
          <cell r="A54" t="str">
            <v>P2 - 8</v>
          </cell>
          <cell r="B54" t="str">
            <v>(To be completed by Principal)</v>
          </cell>
        </row>
        <row r="55">
          <cell r="A55" t="str">
            <v>P3 - 8</v>
          </cell>
          <cell r="B55" t="str">
            <v>(To be completed by Principal)</v>
          </cell>
        </row>
        <row r="56">
          <cell r="A56" t="str">
            <v>P4 - 8</v>
          </cell>
          <cell r="B56" t="str">
            <v>(To be completed by Principal)</v>
          </cell>
        </row>
        <row r="57">
          <cell r="A57" t="str">
            <v>BE - 9A</v>
          </cell>
          <cell r="B57" t="str">
            <v>Certification of Borrowing Entity Financial Statement</v>
          </cell>
          <cell r="C57" t="str">
            <v>Village View Investors, Ltd.</v>
          </cell>
        </row>
        <row r="58">
          <cell r="A58" t="str">
            <v>KP1 - 9A</v>
          </cell>
          <cell r="B58" t="str">
            <v>Certification of Key Principal Financial Statement</v>
          </cell>
          <cell r="C58" t="str">
            <v>John Trefethen</v>
          </cell>
        </row>
        <row r="59">
          <cell r="A59" t="str">
            <v>KP2 - 9A</v>
          </cell>
          <cell r="B59" t="str">
            <v>Certification of Key Principal Financial Statement</v>
          </cell>
          <cell r="C59">
            <v>0</v>
          </cell>
        </row>
        <row r="60">
          <cell r="A60" t="str">
            <v>KP3 - 9A</v>
          </cell>
          <cell r="B60" t="str">
            <v>Certification of Key Principal Financial Statement</v>
          </cell>
          <cell r="C60">
            <v>0</v>
          </cell>
        </row>
        <row r="61">
          <cell r="A61" t="str">
            <v>KP4 - 9A</v>
          </cell>
          <cell r="B61" t="str">
            <v>Certification of Key Principal Financial Statement</v>
          </cell>
          <cell r="C61">
            <v>0</v>
          </cell>
        </row>
        <row r="62">
          <cell r="A62" t="str">
            <v>P1 - 9A</v>
          </cell>
          <cell r="B62" t="str">
            <v>Certification of Principal Financial Statement</v>
          </cell>
          <cell r="C62" t="str">
            <v>Village View Investors, Inc.</v>
          </cell>
        </row>
        <row r="63">
          <cell r="A63" t="str">
            <v>P2 - 9A</v>
          </cell>
          <cell r="B63" t="str">
            <v>Certification of Principal Financial Statement</v>
          </cell>
          <cell r="C63" t="str">
            <v>Trefethen 1983 Family Trust</v>
          </cell>
        </row>
        <row r="64">
          <cell r="A64" t="str">
            <v>P3 - 9A</v>
          </cell>
          <cell r="B64" t="str">
            <v>Certification of Principal Financial Statement</v>
          </cell>
          <cell r="C64">
            <v>0</v>
          </cell>
        </row>
        <row r="65">
          <cell r="A65" t="str">
            <v>P4 - 9A</v>
          </cell>
          <cell r="B65" t="str">
            <v>Certification of Principal Financial Statement</v>
          </cell>
          <cell r="C65">
            <v>0</v>
          </cell>
        </row>
        <row r="66">
          <cell r="A66" t="str">
            <v>BE - 9D</v>
          </cell>
          <cell r="B66" t="str">
            <v>Borrowing Entity Financial Statement</v>
          </cell>
        </row>
        <row r="67">
          <cell r="A67" t="str">
            <v>KP1 - 9D</v>
          </cell>
          <cell r="B67" t="str">
            <v xml:space="preserve">Key Principal Financial Statement </v>
          </cell>
        </row>
        <row r="68">
          <cell r="A68" t="str">
            <v>KP2 - 9D</v>
          </cell>
          <cell r="B68" t="str">
            <v xml:space="preserve">Key Principal Financial Statement </v>
          </cell>
        </row>
        <row r="69">
          <cell r="A69" t="str">
            <v>KP3 - 9D</v>
          </cell>
          <cell r="B69" t="str">
            <v xml:space="preserve">Key Principal Financial Statement </v>
          </cell>
        </row>
        <row r="70">
          <cell r="A70" t="str">
            <v>KP4 - 9D</v>
          </cell>
          <cell r="B70" t="str">
            <v xml:space="preserve">Key Principal Financial Statement </v>
          </cell>
        </row>
        <row r="71">
          <cell r="A71" t="str">
            <v>P1 - 9D</v>
          </cell>
          <cell r="B71" t="str">
            <v xml:space="preserve">Principal Financial Statement </v>
          </cell>
        </row>
        <row r="72">
          <cell r="A72" t="str">
            <v>P2 - 9D</v>
          </cell>
          <cell r="B72" t="str">
            <v xml:space="preserve">Principal Financial Statement </v>
          </cell>
        </row>
        <row r="73">
          <cell r="A73" t="str">
            <v>P3 - 9D</v>
          </cell>
          <cell r="B73" t="str">
            <v xml:space="preserve">Principal Financial Statement </v>
          </cell>
        </row>
        <row r="74">
          <cell r="A74" t="str">
            <v>P4 - 9D</v>
          </cell>
          <cell r="B74" t="str">
            <v xml:space="preserve">Principal Financial Statement </v>
          </cell>
        </row>
        <row r="75">
          <cell r="A75" t="str">
            <v>BE - 10</v>
          </cell>
          <cell r="B75" t="str">
            <v>Borrowing Entity:</v>
          </cell>
          <cell r="C75" t="str">
            <v>Village View Investors, Ltd.</v>
          </cell>
          <cell r="G75" t="str">
            <v>This entity has no guarantees or contingent liabilities.</v>
          </cell>
          <cell r="H75" t="str">
            <v>BORROWING ENTITY</v>
          </cell>
        </row>
        <row r="76">
          <cell r="A76" t="str">
            <v>KP1 - 10</v>
          </cell>
          <cell r="B76" t="str">
            <v>Key Principal:</v>
          </cell>
          <cell r="C76" t="str">
            <v>John Trefethen</v>
          </cell>
          <cell r="G76" t="str">
            <v>This key principal has no guarantees or contingent liabilities.</v>
          </cell>
          <cell r="H76" t="str">
            <v>KEY PRINCIPAL</v>
          </cell>
        </row>
        <row r="77">
          <cell r="A77" t="str">
            <v>KP2 - 10</v>
          </cell>
          <cell r="B77" t="str">
            <v>Key Principal:</v>
          </cell>
          <cell r="C77">
            <v>0</v>
          </cell>
          <cell r="G77" t="str">
            <v>This key principal has no guarantees or contingent liabilities.</v>
          </cell>
          <cell r="H77" t="str">
            <v>KEY PRINCIPAL</v>
          </cell>
        </row>
        <row r="78">
          <cell r="A78" t="str">
            <v>KP3 - 10</v>
          </cell>
          <cell r="B78" t="str">
            <v>Key Principal:</v>
          </cell>
          <cell r="C78">
            <v>0</v>
          </cell>
          <cell r="G78" t="str">
            <v>This key principal has no guarantees or contingent liabilities.</v>
          </cell>
          <cell r="H78" t="str">
            <v>KEY PRINCIPAL</v>
          </cell>
        </row>
        <row r="79">
          <cell r="A79" t="str">
            <v>KP4 - 10</v>
          </cell>
          <cell r="B79" t="str">
            <v>Key Principal:</v>
          </cell>
          <cell r="C79">
            <v>0</v>
          </cell>
          <cell r="G79" t="str">
            <v>This key principal has no guarantees or contingent liabilities.</v>
          </cell>
          <cell r="H79" t="str">
            <v>KEY PRINCIPAL</v>
          </cell>
        </row>
        <row r="80">
          <cell r="A80" t="str">
            <v>P1 - 10</v>
          </cell>
          <cell r="B80" t="str">
            <v xml:space="preserve">Principal: </v>
          </cell>
          <cell r="C80" t="str">
            <v>Village View Investors, Inc.</v>
          </cell>
          <cell r="G80" t="str">
            <v>This principal has no guarantees or contingent liabilities.</v>
          </cell>
          <cell r="H80" t="str">
            <v>PRINCIPAL</v>
          </cell>
        </row>
        <row r="81">
          <cell r="A81" t="str">
            <v>P2 - 10</v>
          </cell>
          <cell r="B81" t="str">
            <v xml:space="preserve">Principal: </v>
          </cell>
          <cell r="C81" t="str">
            <v>Trefethen 1983 Family Trust</v>
          </cell>
          <cell r="G81" t="str">
            <v>This principal has no guarantees or contingent liabilities.</v>
          </cell>
          <cell r="H81" t="str">
            <v>PRINCIPAL</v>
          </cell>
        </row>
        <row r="82">
          <cell r="A82" t="str">
            <v>P3 - 10</v>
          </cell>
          <cell r="B82" t="str">
            <v xml:space="preserve">Principal: </v>
          </cell>
          <cell r="C82">
            <v>0</v>
          </cell>
          <cell r="G82" t="str">
            <v>This principal has no guarantees or contingent liabilities.</v>
          </cell>
          <cell r="H82" t="str">
            <v>PRINCIPAL</v>
          </cell>
        </row>
        <row r="83">
          <cell r="A83" t="str">
            <v>P4 - 10</v>
          </cell>
          <cell r="B83" t="str">
            <v xml:space="preserve">Principal: </v>
          </cell>
          <cell r="C83">
            <v>0</v>
          </cell>
          <cell r="G83" t="str">
            <v>This principal has no guarantees or contingent liabilities.</v>
          </cell>
          <cell r="H83" t="str">
            <v>PRINCIPAL</v>
          </cell>
        </row>
        <row r="84">
          <cell r="A84" t="str">
            <v>BE - 12</v>
          </cell>
          <cell r="C84" t="str">
            <v>Village View Investors, Ltd.</v>
          </cell>
        </row>
        <row r="85">
          <cell r="A85" t="str">
            <v>KP1 - 12</v>
          </cell>
          <cell r="C85" t="str">
            <v>John Trefethen</v>
          </cell>
        </row>
        <row r="86">
          <cell r="A86" t="str">
            <v>KP2 - 12</v>
          </cell>
          <cell r="C86">
            <v>0</v>
          </cell>
        </row>
        <row r="87">
          <cell r="A87" t="str">
            <v>KP3 - 12</v>
          </cell>
          <cell r="C87">
            <v>0</v>
          </cell>
        </row>
        <row r="88">
          <cell r="A88" t="str">
            <v>KP4 - 12</v>
          </cell>
          <cell r="C88">
            <v>0</v>
          </cell>
        </row>
        <row r="89">
          <cell r="A89" t="str">
            <v>P1 - 12</v>
          </cell>
          <cell r="C89" t="str">
            <v>Village View Investors, Inc.</v>
          </cell>
        </row>
        <row r="90">
          <cell r="A90" t="str">
            <v>P2 - 12</v>
          </cell>
          <cell r="C90" t="str">
            <v>Trefethen 1983 Family Trust</v>
          </cell>
        </row>
        <row r="91">
          <cell r="A91" t="str">
            <v>P3 - 12</v>
          </cell>
          <cell r="C91">
            <v>0</v>
          </cell>
        </row>
        <row r="92">
          <cell r="A92" t="str">
            <v>P4 - 12</v>
          </cell>
          <cell r="C92">
            <v>0</v>
          </cell>
        </row>
        <row r="93">
          <cell r="A93" t="str">
            <v>BE - 13A</v>
          </cell>
          <cell r="B93" t="str">
            <v>Borrowing Entity Information Request</v>
          </cell>
          <cell r="C93" t="str">
            <v>Village View Investors, Ltd.</v>
          </cell>
          <cell r="G93" t="str">
            <v>Borrowing Entity:</v>
          </cell>
        </row>
        <row r="94">
          <cell r="A94" t="str">
            <v>KP1 - 13A</v>
          </cell>
          <cell r="B94" t="str">
            <v>Key Principal Information Sheet</v>
          </cell>
          <cell r="C94" t="str">
            <v>John Trefethen</v>
          </cell>
          <cell r="G94" t="str">
            <v>Key Principal:</v>
          </cell>
        </row>
        <row r="95">
          <cell r="A95" t="str">
            <v>KP2 - 13A</v>
          </cell>
          <cell r="B95" t="str">
            <v>Key Principal Information Sheet</v>
          </cell>
          <cell r="C95">
            <v>0</v>
          </cell>
          <cell r="G95" t="str">
            <v>Key Principal:</v>
          </cell>
        </row>
        <row r="96">
          <cell r="A96" t="str">
            <v>KP3 - 13A</v>
          </cell>
          <cell r="B96" t="str">
            <v>Key Principal Information Sheet</v>
          </cell>
          <cell r="C96">
            <v>0</v>
          </cell>
          <cell r="G96" t="str">
            <v>Key Principal:</v>
          </cell>
        </row>
        <row r="97">
          <cell r="A97" t="str">
            <v>KP4 - 13A</v>
          </cell>
          <cell r="B97" t="str">
            <v>Key Principal Information Sheet</v>
          </cell>
          <cell r="C97">
            <v>0</v>
          </cell>
          <cell r="G97" t="str">
            <v>Key Principal:</v>
          </cell>
        </row>
        <row r="98">
          <cell r="A98" t="str">
            <v>P1 - 13A</v>
          </cell>
          <cell r="B98" t="str">
            <v>Principal Information Sheet</v>
          </cell>
          <cell r="C98" t="str">
            <v>Village View Investors, Inc.</v>
          </cell>
          <cell r="G98" t="str">
            <v>Principal:</v>
          </cell>
        </row>
        <row r="99">
          <cell r="A99" t="str">
            <v>P2 - 13A</v>
          </cell>
          <cell r="B99" t="str">
            <v>Principal Information Sheet</v>
          </cell>
          <cell r="C99" t="str">
            <v>Trefethen 1983 Family Trust</v>
          </cell>
          <cell r="G99" t="str">
            <v>Principal:</v>
          </cell>
        </row>
        <row r="100">
          <cell r="A100" t="str">
            <v>P3 - 13A</v>
          </cell>
          <cell r="B100" t="str">
            <v>Principal Information Sheet</v>
          </cell>
          <cell r="C100">
            <v>0</v>
          </cell>
          <cell r="G100" t="str">
            <v>Principal:</v>
          </cell>
        </row>
        <row r="101">
          <cell r="A101" t="str">
            <v>P4 - 13A</v>
          </cell>
          <cell r="B101" t="str">
            <v>Principal Information Sheet</v>
          </cell>
          <cell r="C101">
            <v>0</v>
          </cell>
          <cell r="G101" t="str">
            <v>Principal:</v>
          </cell>
        </row>
        <row r="102">
          <cell r="A102" t="str">
            <v>BE - 13B</v>
          </cell>
          <cell r="B102" t="str">
            <v>TO BE COMPLETED BY BORROWING ENTITY</v>
          </cell>
        </row>
        <row r="103">
          <cell r="A103" t="str">
            <v>KP1 - 13B</v>
          </cell>
          <cell r="B103" t="str">
            <v>TO BE COMPLETED BY KEY PRINCIPAL</v>
          </cell>
        </row>
        <row r="104">
          <cell r="A104" t="str">
            <v>KP2 - 13B</v>
          </cell>
          <cell r="B104" t="str">
            <v>TO BE COMPLETED BY KEY PRINCIPAL</v>
          </cell>
        </row>
        <row r="105">
          <cell r="A105" t="str">
            <v>KP3 - 13B</v>
          </cell>
          <cell r="B105" t="str">
            <v>TO BE COMPLETED BY KEY PRINCIPAL</v>
          </cell>
        </row>
        <row r="106">
          <cell r="A106" t="str">
            <v>KP4 - 13B</v>
          </cell>
          <cell r="B106" t="str">
            <v>TO BE COMPLETED BY KEY PRINCIPAL</v>
          </cell>
        </row>
        <row r="107">
          <cell r="A107" t="str">
            <v>P1 - 13B</v>
          </cell>
          <cell r="B107" t="str">
            <v>TO BE COMPLETED BY PRINCIPAL</v>
          </cell>
        </row>
        <row r="108">
          <cell r="A108" t="str">
            <v>P2 - 13B</v>
          </cell>
          <cell r="B108" t="str">
            <v>TO BE COMPLETED BY PRINCIPAL</v>
          </cell>
        </row>
        <row r="109">
          <cell r="A109" t="str">
            <v>P3 - 13B</v>
          </cell>
          <cell r="B109" t="str">
            <v>TO BE COMPLETED BY PRINCIPAL</v>
          </cell>
        </row>
        <row r="110">
          <cell r="A110" t="str">
            <v>P4 - 13B</v>
          </cell>
          <cell r="B110" t="str">
            <v>TO BE COMPLETED BY PRINCIPAL</v>
          </cell>
        </row>
        <row r="111">
          <cell r="A111" t="str">
            <v>KP1 - 14</v>
          </cell>
          <cell r="B111" t="str">
            <v>Key Principal:</v>
          </cell>
          <cell r="C111" t="str">
            <v>John Trefethen</v>
          </cell>
          <cell r="G111" t="str">
            <v>Key Principal</v>
          </cell>
        </row>
        <row r="112">
          <cell r="A112" t="str">
            <v>KP2 - 14</v>
          </cell>
          <cell r="B112" t="str">
            <v>Key Principal:</v>
          </cell>
          <cell r="C112">
            <v>0</v>
          </cell>
          <cell r="G112" t="str">
            <v>Key Principal</v>
          </cell>
        </row>
        <row r="113">
          <cell r="A113" t="str">
            <v>KP3 - 14</v>
          </cell>
          <cell r="B113" t="str">
            <v>Key Principal:</v>
          </cell>
          <cell r="C113">
            <v>0</v>
          </cell>
          <cell r="G113" t="str">
            <v>Key Principal</v>
          </cell>
        </row>
        <row r="114">
          <cell r="A114" t="str">
            <v>KP4 - 14</v>
          </cell>
          <cell r="B114" t="str">
            <v>Key Principal:</v>
          </cell>
          <cell r="C114">
            <v>0</v>
          </cell>
          <cell r="G114" t="str">
            <v>Key Principal</v>
          </cell>
        </row>
        <row r="115">
          <cell r="A115" t="str">
            <v>P1 - 14</v>
          </cell>
          <cell r="B115" t="str">
            <v xml:space="preserve">Principal: </v>
          </cell>
          <cell r="C115" t="str">
            <v>Village View Investors, Inc.</v>
          </cell>
          <cell r="G115" t="str">
            <v>Principal</v>
          </cell>
        </row>
        <row r="116">
          <cell r="A116" t="str">
            <v>P2 - 14</v>
          </cell>
          <cell r="B116" t="str">
            <v xml:space="preserve">Principal: </v>
          </cell>
          <cell r="C116" t="str">
            <v>Trefethen 1983 Family Trust</v>
          </cell>
          <cell r="G116" t="str">
            <v>Principal</v>
          </cell>
        </row>
        <row r="117">
          <cell r="A117" t="str">
            <v>P3 - 14</v>
          </cell>
          <cell r="B117" t="str">
            <v xml:space="preserve">Principal: </v>
          </cell>
          <cell r="C117">
            <v>0</v>
          </cell>
          <cell r="G117" t="str">
            <v>Principal</v>
          </cell>
        </row>
        <row r="118">
          <cell r="A118" t="str">
            <v>P4 - 14</v>
          </cell>
          <cell r="B118" t="str">
            <v xml:space="preserve">Principal: </v>
          </cell>
          <cell r="C118">
            <v>0</v>
          </cell>
          <cell r="G118" t="str">
            <v>Principal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ases"/>
      <sheetName val="Occupancy"/>
      <sheetName val="Current Year"/>
      <sheetName val="Marketing"/>
      <sheetName val="Traffic Log"/>
      <sheetName val="Status Report"/>
      <sheetName val="Daily Report"/>
      <sheetName val="Calendar"/>
      <sheetName val="Pricing"/>
      <sheetName val="60 Day Forecast"/>
      <sheetName val="Map"/>
      <sheetName val="Sellling Map"/>
      <sheetName val="Deposits"/>
      <sheetName val="Delinquency"/>
      <sheetName val="Comps"/>
    </sheetNames>
    <sheetDataSet>
      <sheetData sheetId="0">
        <row r="7">
          <cell r="C7">
            <v>101</v>
          </cell>
        </row>
      </sheetData>
      <sheetData sheetId="1" refreshError="1"/>
      <sheetData sheetId="2">
        <row r="7">
          <cell r="D7" t="str">
            <v>Unfurn</v>
          </cell>
        </row>
        <row r="8">
          <cell r="D8" t="str">
            <v>Furn</v>
          </cell>
        </row>
        <row r="9">
          <cell r="D9" t="str">
            <v>Unfurn</v>
          </cell>
        </row>
        <row r="10">
          <cell r="D10" t="str">
            <v>Furn</v>
          </cell>
        </row>
        <row r="11">
          <cell r="D11" t="str">
            <v>Furn</v>
          </cell>
        </row>
        <row r="12">
          <cell r="D12" t="str">
            <v>Unfurn</v>
          </cell>
        </row>
        <row r="13">
          <cell r="D13" t="str">
            <v>Furn</v>
          </cell>
        </row>
        <row r="14">
          <cell r="D14" t="str">
            <v>Unfurn</v>
          </cell>
        </row>
        <row r="15">
          <cell r="D15" t="str">
            <v>Unfurn</v>
          </cell>
        </row>
        <row r="16">
          <cell r="D16" t="str">
            <v>Unfurn</v>
          </cell>
        </row>
        <row r="17">
          <cell r="D17" t="str">
            <v>Furn</v>
          </cell>
        </row>
        <row r="18">
          <cell r="D18" t="str">
            <v>Furn</v>
          </cell>
        </row>
        <row r="19">
          <cell r="D19" t="str">
            <v>Unfurn</v>
          </cell>
        </row>
        <row r="20">
          <cell r="D20" t="str">
            <v>Unfurn</v>
          </cell>
        </row>
        <row r="21">
          <cell r="D21" t="str">
            <v>Furn</v>
          </cell>
        </row>
        <row r="22">
          <cell r="D22" t="str">
            <v>Unfurn</v>
          </cell>
        </row>
        <row r="23">
          <cell r="D23" t="str">
            <v>Unfurn</v>
          </cell>
        </row>
        <row r="24">
          <cell r="D24" t="str">
            <v>Unfurn</v>
          </cell>
        </row>
        <row r="25">
          <cell r="D25" t="str">
            <v>Unfurn</v>
          </cell>
        </row>
        <row r="26">
          <cell r="D26" t="str">
            <v>Furn</v>
          </cell>
        </row>
        <row r="27">
          <cell r="D27" t="str">
            <v>Furn</v>
          </cell>
        </row>
        <row r="28">
          <cell r="D28" t="str">
            <v>Furn</v>
          </cell>
        </row>
        <row r="29">
          <cell r="D29" t="str">
            <v>Unfurn</v>
          </cell>
        </row>
        <row r="30">
          <cell r="D30" t="str">
            <v>Furn</v>
          </cell>
        </row>
        <row r="31">
          <cell r="D31" t="str">
            <v>Furn</v>
          </cell>
        </row>
        <row r="32">
          <cell r="D32" t="str">
            <v>Furn</v>
          </cell>
        </row>
        <row r="33">
          <cell r="D33" t="str">
            <v>Furn</v>
          </cell>
        </row>
        <row r="34">
          <cell r="D34" t="str">
            <v>Unfurn</v>
          </cell>
        </row>
        <row r="35">
          <cell r="D35" t="str">
            <v>Furn</v>
          </cell>
        </row>
        <row r="36">
          <cell r="D36" t="str">
            <v>Unfurn</v>
          </cell>
        </row>
        <row r="37">
          <cell r="D37" t="str">
            <v>Furn</v>
          </cell>
        </row>
        <row r="38">
          <cell r="D38" t="str">
            <v>Unfurn</v>
          </cell>
        </row>
        <row r="39">
          <cell r="D39" t="str">
            <v>Furn</v>
          </cell>
        </row>
        <row r="40">
          <cell r="D40" t="str">
            <v>Furn</v>
          </cell>
        </row>
        <row r="41">
          <cell r="D41" t="str">
            <v>Furn</v>
          </cell>
        </row>
        <row r="42">
          <cell r="D42" t="str">
            <v>Furn</v>
          </cell>
        </row>
        <row r="43">
          <cell r="D43" t="str">
            <v>Furn</v>
          </cell>
        </row>
        <row r="44">
          <cell r="D44" t="str">
            <v>Furn</v>
          </cell>
        </row>
        <row r="45">
          <cell r="D45" t="str">
            <v>Furn</v>
          </cell>
        </row>
        <row r="46">
          <cell r="D46" t="str">
            <v>Furn</v>
          </cell>
        </row>
        <row r="47">
          <cell r="D47" t="str">
            <v>Furn</v>
          </cell>
        </row>
        <row r="48">
          <cell r="D48" t="str">
            <v>Furn</v>
          </cell>
        </row>
        <row r="49">
          <cell r="D49" t="str">
            <v>Furn</v>
          </cell>
        </row>
        <row r="50">
          <cell r="D50" t="str">
            <v>Unfurn</v>
          </cell>
        </row>
        <row r="51">
          <cell r="D51" t="str">
            <v>Unfurn</v>
          </cell>
        </row>
        <row r="52">
          <cell r="D52" t="str">
            <v>Furn</v>
          </cell>
        </row>
        <row r="53">
          <cell r="D53" t="str">
            <v>Unfurn</v>
          </cell>
        </row>
        <row r="54">
          <cell r="D54" t="str">
            <v>Furn</v>
          </cell>
        </row>
        <row r="55">
          <cell r="D55" t="str">
            <v>Furn</v>
          </cell>
        </row>
        <row r="56">
          <cell r="D56" t="str">
            <v>Furn</v>
          </cell>
        </row>
        <row r="57">
          <cell r="D57" t="str">
            <v>Furn</v>
          </cell>
        </row>
        <row r="58">
          <cell r="D58" t="str">
            <v>Unfurn</v>
          </cell>
        </row>
        <row r="59">
          <cell r="D59" t="str">
            <v>Furn</v>
          </cell>
        </row>
        <row r="60">
          <cell r="D60" t="str">
            <v>Furn</v>
          </cell>
        </row>
        <row r="61">
          <cell r="D61" t="str">
            <v>Furn</v>
          </cell>
        </row>
        <row r="62">
          <cell r="D62" t="str">
            <v>Furn</v>
          </cell>
        </row>
        <row r="63">
          <cell r="D63" t="str">
            <v>Unfurn</v>
          </cell>
        </row>
        <row r="64">
          <cell r="D64" t="str">
            <v>Furn</v>
          </cell>
        </row>
        <row r="65">
          <cell r="D65" t="str">
            <v>Furn</v>
          </cell>
        </row>
        <row r="66">
          <cell r="D66" t="str">
            <v>Furn</v>
          </cell>
        </row>
      </sheetData>
      <sheetData sheetId="3" refreshError="1"/>
      <sheetData sheetId="4" refreshError="1"/>
      <sheetData sheetId="5">
        <row r="2">
          <cell r="B2">
            <v>43040</v>
          </cell>
        </row>
        <row r="12">
          <cell r="P12" t="str">
            <v>Craigslist/Social Media</v>
          </cell>
        </row>
        <row r="13">
          <cell r="P13" t="str">
            <v>Apartment Finder</v>
          </cell>
        </row>
        <row r="14">
          <cell r="P14" t="str">
            <v>Apartments.com</v>
          </cell>
        </row>
        <row r="15">
          <cell r="P15" t="str">
            <v>Rent.com/ApartmentGuide.com</v>
          </cell>
        </row>
        <row r="16">
          <cell r="P16" t="str">
            <v>Apts 24/7</v>
          </cell>
        </row>
        <row r="17">
          <cell r="P17" t="str">
            <v>ForRent.com/CorporateHousing.com</v>
          </cell>
        </row>
        <row r="18">
          <cell r="P18" t="str">
            <v>Rent Café/Portal</v>
          </cell>
        </row>
        <row r="19">
          <cell r="P19" t="str">
            <v>Walk in/Repeat Guest</v>
          </cell>
        </row>
        <row r="20">
          <cell r="P20" t="str">
            <v>Broker/Referral</v>
          </cell>
        </row>
        <row r="21">
          <cell r="P21" t="str">
            <v>Zillow/Hotpads/Trulia</v>
          </cell>
        </row>
      </sheetData>
      <sheetData sheetId="6" refreshError="1"/>
      <sheetData sheetId="7">
        <row r="4">
          <cell r="G4">
            <v>43040</v>
          </cell>
        </row>
      </sheetData>
      <sheetData sheetId="8">
        <row r="9">
          <cell r="H9" t="str">
            <v>Unfurn</v>
          </cell>
        </row>
      </sheetData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S"/>
      <sheetName val="ASSETS (2)"/>
      <sheetName val="COM"/>
      <sheetName val="COC"/>
      <sheetName val="TIS"/>
      <sheetName val="RLE"/>
      <sheetName val="7000 ACC LANDSCAPE"/>
      <sheetName val="7000 ACCT12-97  1-98"/>
      <sheetName val="RSCHDL"/>
      <sheetName val="EXP"/>
      <sheetName val="Sheet1"/>
      <sheetName val="Sheet2"/>
      <sheetName val="drop downs"/>
      <sheetName val="ASSETS_(2)1"/>
      <sheetName val="7000_ACC_LANDSCAPE1"/>
      <sheetName val="7000_ACCT12-97__1-981"/>
      <sheetName val="drop_downs1"/>
      <sheetName val="ASSETS_(2)"/>
      <sheetName val="7000_ACC_LANDSCAPE"/>
      <sheetName val="7000_ACCT12-97__1-98"/>
      <sheetName val="drop_downs"/>
      <sheetName val="Exit Strategy"/>
      <sheetName val="Dump"/>
      <sheetName val="HE Origination"/>
      <sheetName val="Debt Summary  11"/>
      <sheetName val="Input2"/>
      <sheetName val="SU"/>
      <sheetName val="Set-up"/>
      <sheetName val="Property Info"/>
      <sheetName val="110910 RR"/>
      <sheetName val="CF Yr1"/>
      <sheetName val="Repl.Cst.+Ins."/>
      <sheetName val="Rent Roll"/>
      <sheetName val="Op Exp &amp; Cap Ex"/>
      <sheetName val="assump"/>
      <sheetName val="Monthly"/>
      <sheetName val="rates"/>
      <sheetName val="TCTTOC"/>
      <sheetName val="JUL98"/>
      <sheetName val="JUL98.XLS"/>
      <sheetName val="Investor Splits"/>
      <sheetName val="OA-Email"/>
      <sheetName val="Debt Sum"/>
      <sheetName val="Programs and Zipcodes"/>
      <sheetName val="Assumptions"/>
      <sheetName val="Pro Forma"/>
      <sheetName val="Codesheet"/>
      <sheetName val="Debt Assumptions"/>
      <sheetName val="CBRE Cashflow"/>
      <sheetName val="0520-10"/>
      <sheetName val="0540-10"/>
      <sheetName val="0640-14"/>
      <sheetName val="0550-24"/>
      <sheetName val="OPER. ACCRLS."/>
      <sheetName val="0500-10"/>
      <sheetName val="0500-18"/>
      <sheetName val="0500-20"/>
      <sheetName val="0502-10"/>
      <sheetName val="0502-14"/>
      <sheetName val="0502-18"/>
      <sheetName val="0502-22"/>
      <sheetName val="0502-24"/>
      <sheetName val="Prkng Trade"/>
      <sheetName val="0505-11"/>
      <sheetName val="0505-14"/>
      <sheetName val="0505-16"/>
      <sheetName val="0510-16"/>
      <sheetName val="0510-18"/>
      <sheetName val="0510-20"/>
      <sheetName val="0510-22"/>
      <sheetName val="0510-24"/>
      <sheetName val="0515-10"/>
      <sheetName val="0515-11"/>
      <sheetName val="0515-11b"/>
      <sheetName val="0515-12"/>
      <sheetName val="0515-14"/>
      <sheetName val="0525-12"/>
      <sheetName val="0525-14"/>
      <sheetName val="0525-18"/>
      <sheetName val="0530-10"/>
      <sheetName val="0530-12"/>
      <sheetName val="0530-14"/>
      <sheetName val="0530-20"/>
      <sheetName val="0535-10"/>
      <sheetName val="0535-12"/>
      <sheetName val="0535-16"/>
      <sheetName val="staxqtr (2)"/>
      <sheetName val="staxqtr (3)"/>
      <sheetName val="0540-18"/>
      <sheetName val="octxqtr(2)"/>
      <sheetName val="octxqtr(3)"/>
      <sheetName val="0540-26"/>
      <sheetName val="0540-28"/>
      <sheetName val="0540-30"/>
      <sheetName val="prktxqtr(2)"/>
      <sheetName val="prktxqtr(3)"/>
      <sheetName val="0545-10"/>
      <sheetName val="0550-12"/>
      <sheetName val="0550-20,22"/>
      <sheetName val="0550-24,26"/>
      <sheetName val="0550-28,30"/>
      <sheetName val="0555-10,12"/>
      <sheetName val="0555-14,16"/>
      <sheetName val="0555-26"/>
      <sheetName val="0565-10"/>
      <sheetName val="0565-14"/>
      <sheetName val="0570-10"/>
      <sheetName val="0570-12"/>
      <sheetName val="0575-10"/>
      <sheetName val="0575-14"/>
      <sheetName val="0575-18"/>
      <sheetName val="0585-10,12"/>
      <sheetName val="0585-14,16"/>
      <sheetName val="0590-10,12"/>
      <sheetName val="0592-10,12"/>
      <sheetName val="0595-10,12"/>
      <sheetName val="0600-10,12"/>
      <sheetName val="0605-10,12"/>
      <sheetName val="0610-10,12"/>
      <sheetName val="0615-10,12"/>
      <sheetName val="0625-10"/>
      <sheetName val="0625-12"/>
      <sheetName val="0625-14"/>
      <sheetName val="0625-18"/>
      <sheetName val="0502-16"/>
      <sheetName val="FOX"/>
      <sheetName val="LIESEGANG"/>
      <sheetName val="LASALLE"/>
      <sheetName val="AMPCO"/>
      <sheetName val="0550-20"/>
      <sheetName val="0550-28"/>
      <sheetName val="0555-10"/>
      <sheetName val="0555-14"/>
      <sheetName val="Cashflow"/>
      <sheetName val="Summary CF"/>
      <sheetName val="Reserves"/>
      <sheetName val="Alhambra Retail Parcel Analysis"/>
      <sheetName val="Demographic"/>
      <sheetName val="Narrative"/>
      <sheetName val="Covhurdle 1"/>
      <sheetName val="Model - Input Page"/>
      <sheetName val="Purchase Price"/>
      <sheetName val="Summary"/>
      <sheetName val="sum"/>
      <sheetName val="ASSETS_(2)2"/>
      <sheetName val="7000_ACC_LANDSCAPE2"/>
      <sheetName val="7000_ACCT12-97__1-982"/>
      <sheetName val="drop_downs2"/>
      <sheetName val="Exit_Strategy"/>
      <sheetName val="HE_Origination"/>
      <sheetName val="Debt_Summary__11"/>
      <sheetName val="CF_Yr1"/>
      <sheetName val="Repl_Cst_+Ins_"/>
      <sheetName val="Rent_Roll"/>
      <sheetName val="Op_Exp_&amp;_Cap_Ex"/>
      <sheetName val="Property_Info"/>
      <sheetName val="110910_RR"/>
      <sheetName val="Investor_Splits"/>
      <sheetName val="JUL98_XLS"/>
      <sheetName val="Debt_Sum"/>
      <sheetName val="Programs_and_Zipcodes"/>
      <sheetName val="Pro_Forma"/>
      <sheetName val="OPER__ACCRLS_"/>
      <sheetName val="Prkng_Trade"/>
      <sheetName val="staxqtr_(2)"/>
      <sheetName val="staxqtr_(3)"/>
      <sheetName val="Debt_Assumptions"/>
      <sheetName val="CBRE_Cashflow"/>
      <sheetName val="Alhambra_Retail_Parcel_Analysis"/>
      <sheetName val="Covhurdle_1"/>
      <sheetName val="Model_-_Input_Page"/>
      <sheetName val="Prompt"/>
      <sheetName val="Setup"/>
      <sheetName val="Life CMBS Overview"/>
      <sheetName val="Life CMBS Amort Schedule"/>
      <sheetName val="Deal Overview"/>
      <sheetName val="Detailed Sources &amp; Uses"/>
      <sheetName val="Operating Stmt Entry"/>
      <sheetName val="Op Entry Categories"/>
      <sheetName val="T-12 Months"/>
      <sheetName val="Collections Analysis"/>
      <sheetName val="RE Taxes"/>
      <sheetName val="Rent Roll Summary"/>
      <sheetName val="SR Housing Rent Roll"/>
      <sheetName val="Skilled Nursing NCF Percentage"/>
      <sheetName val="Unit Occupancy by Acuity"/>
      <sheetName val="NIC Map Data"/>
      <sheetName val="Expense Comps"/>
      <sheetName val="Loan Sizer"/>
      <sheetName val="Market Comp Tables"/>
      <sheetName val="Proforma"/>
      <sheetName val="Primary Loan Sizing"/>
      <sheetName val="Alt Loan Sizing 1"/>
      <sheetName val="Alt Loan Sizing 2"/>
      <sheetName val="Alt Loan Sizing 3"/>
      <sheetName val="Cash Flow"/>
      <sheetName val="Alt Cash Flow"/>
      <sheetName val="SARM Principal Payment"/>
      <sheetName val="Agency Amort Schedule"/>
      <sheetName val="Proforma Rollup"/>
      <sheetName val="Affordability Test Data"/>
      <sheetName val="Agency Quote"/>
      <sheetName val="Agency Presentation"/>
      <sheetName val="DUS Gateway Data"/>
      <sheetName val="DUS Gateway Data Rules"/>
      <sheetName val="FREDDIE I&amp;E"/>
      <sheetName val="FREDDIE SENIORS I&amp;E"/>
      <sheetName val="Agency Metrics"/>
      <sheetName val="Aff - Full S&amp;U and Subdebt"/>
      <sheetName val="Aff - Bond Rate Stack"/>
      <sheetName val="UW - PNOT"/>
      <sheetName val="UW - Immediate Repairs"/>
      <sheetName val="Supplemental Existing Mtg Data"/>
      <sheetName val="Supplemental Quick Analysis"/>
      <sheetName val="Supplemental Value Creation"/>
      <sheetName val="Supplemental Loan Request"/>
      <sheetName val="Supplemental - New Loan Test"/>
      <sheetName val="Supplemental Cash Flows"/>
      <sheetName val="Supplemental Amort Schedule"/>
      <sheetName val="Supplemental SARM Prin Pmt"/>
      <sheetName val="FNMA RR Template"/>
      <sheetName val="Dropdowns"/>
      <sheetName val="Jan"/>
      <sheetName val="Table 1"/>
      <sheetName val="budget"/>
      <sheetName val="Rent Rolls"/>
      <sheetName val="Loan Data"/>
      <sheetName val="Historicals"/>
      <sheetName val="Property_Loan Specs "/>
      <sheetName val="Tenant Sales"/>
      <sheetName val="Demographics"/>
      <sheetName val="Venture IRR"/>
      <sheetName val="LEASING VELOCITY REPORT"/>
      <sheetName val=" BUILDING COSTS"/>
      <sheetName val="CASH FLOW BUDGET "/>
      <sheetName val="Data_Validation_List"/>
      <sheetName val="4662Mapping"/>
      <sheetName val="LST Map"/>
      <sheetName val="Admin"/>
      <sheetName val="Loan_Summary"/>
      <sheetName val="Amort"/>
      <sheetName val="AG_Sizing_Options"/>
      <sheetName val="AG_Quote_Print"/>
      <sheetName val="AG_Sources_Uses"/>
      <sheetName val="Refinance Analysis"/>
      <sheetName val="Closing_Summary"/>
      <sheetName val="Data_Input"/>
      <sheetName val="UW_Detail"/>
      <sheetName val="UW_Summary"/>
      <sheetName val="BS_Sizing Options"/>
      <sheetName val="Construction_Draw"/>
      <sheetName val="Lease_Up"/>
      <sheetName val="Const_Summary"/>
      <sheetName val="Collections"/>
      <sheetName val="Tax_Benefit"/>
      <sheetName val="Commercial_Analysis"/>
      <sheetName val="CAM_Tables"/>
      <sheetName val="Standard_Exit"/>
      <sheetName val="NY_Tables"/>
      <sheetName val="Alt_Exit"/>
      <sheetName val="Amort_IO_Tool"/>
      <sheetName val="BS_Narrative_Tables"/>
      <sheetName val="BS_UW_Guidelines"/>
      <sheetName val="BS_Exposure"/>
      <sheetName val="Rent_Comps_FM"/>
      <sheetName val="Rent_Comps"/>
      <sheetName val="Expense_Comps"/>
      <sheetName val="Replacement_Reserves"/>
      <sheetName val="Sales_Comps"/>
      <sheetName val="Sponsor_Financials"/>
      <sheetName val="AG_Exposure"/>
      <sheetName val="Fannie_Summary"/>
      <sheetName val="REO"/>
      <sheetName val="AG_Narrative_Tables"/>
      <sheetName val="I&amp;E"/>
      <sheetName val="DRR Inputs"/>
      <sheetName val="Salesforce"/>
      <sheetName val="Emails"/>
      <sheetName val="Due Diligence"/>
      <sheetName val="LST Inputs"/>
      <sheetName val="Application"/>
      <sheetName val="Cover"/>
      <sheetName val="Photos"/>
      <sheetName val="Photos (cont)"/>
      <sheetName val="Freddie_Summary"/>
      <sheetName val="Transaction Summary"/>
      <sheetName val="Borr Struct Org"/>
      <sheetName val="Mortgage Credit"/>
      <sheetName val="Borrower"/>
      <sheetName val="Market"/>
      <sheetName val="Property"/>
      <sheetName val="Appraisal"/>
      <sheetName val="Rent Comps Summary"/>
      <sheetName val="3rd Party Reports"/>
      <sheetName val="Cashflow Footnotes"/>
      <sheetName val="Exhibits"/>
      <sheetName val="Refi Test"/>
      <sheetName val="C&amp;D_Rent_Roll_&amp;_Fannie_DSCRs"/>
      <sheetName val="Cashflow Summary"/>
      <sheetName val="Settings_Parameters"/>
      <sheetName val="MOD HUD 6.30.19"/>
      <sheetName val="HUD 6.30.19"/>
      <sheetName val="MOD HUD 5.30.19"/>
      <sheetName val="AIA Schedule"/>
      <sheetName val="Equity 12.31.14"/>
      <sheetName val="Links"/>
      <sheetName val="ASSETS_(2)3"/>
      <sheetName val="7000_ACC_LANDSCAPE3"/>
      <sheetName val="7000_ACCT12-97__1-983"/>
      <sheetName val="drop_downs3"/>
      <sheetName val="Exit_Strategy1"/>
      <sheetName val="HE_Origination1"/>
      <sheetName val="Debt_Summary__111"/>
      <sheetName val="CF_Yr11"/>
      <sheetName val="Repl_Cst_+Ins_1"/>
      <sheetName val="Rent_Roll1"/>
      <sheetName val="Op_Exp_&amp;_Cap_Ex1"/>
      <sheetName val="Property_Info1"/>
      <sheetName val="110910_RR1"/>
      <sheetName val="Investor_Splits1"/>
      <sheetName val="JUL98_XLS1"/>
      <sheetName val="Debt_Sum1"/>
      <sheetName val="Programs_and_Zipcodes1"/>
      <sheetName val="Pro_Forma1"/>
      <sheetName val="OPER__ACCRLS_1"/>
      <sheetName val="Prkng_Trade1"/>
      <sheetName val="staxqtr_(2)1"/>
      <sheetName val="staxqtr_(3)1"/>
      <sheetName val="Debt_Assumptions1"/>
      <sheetName val="CBRE_Cashflow1"/>
      <sheetName val="Alhambra_Retail_Parcel_Analysi1"/>
      <sheetName val="Covhurdle_11"/>
      <sheetName val="Model_-_Input_Page1"/>
      <sheetName val="Purchase_Price"/>
      <sheetName val="Summary_CF"/>
      <sheetName val="Life_CMBS_Overview"/>
      <sheetName val="Life_CMBS_Amort_Schedule"/>
      <sheetName val="Deal_Overview"/>
      <sheetName val="Detailed_Sources_&amp;_Uses"/>
      <sheetName val="Operating_Stmt_Entry"/>
      <sheetName val="Op_Entry_Categories"/>
      <sheetName val="T-12_Months"/>
      <sheetName val="Collections_Analysis"/>
      <sheetName val="RE_Taxes"/>
      <sheetName val="Rent_Roll_Summary"/>
      <sheetName val="SR_Housing_Rent_Roll"/>
      <sheetName val="Skilled_Nursing_NCF_Percentage"/>
      <sheetName val="Unit_Occupancy_by_Acuity"/>
      <sheetName val="NIC_Map_Data"/>
      <sheetName val="Expense_Comps1"/>
      <sheetName val="Loan_Sizer"/>
      <sheetName val="Market_Comp_Tables"/>
      <sheetName val="Primary_Loan_Sizing"/>
      <sheetName val="Alt_Loan_Sizing_1"/>
      <sheetName val="Alt_Loan_Sizing_2"/>
      <sheetName val="Alt_Loan_Sizing_3"/>
      <sheetName val="Cash_Flow"/>
      <sheetName val="Alt_Cash_Flow"/>
      <sheetName val="SARM_Principal_Payment"/>
      <sheetName val="Agency_Amort_Schedule"/>
      <sheetName val="Proforma_Rollup"/>
      <sheetName val="Affordability_Test_Data"/>
      <sheetName val="Agency_Quote"/>
      <sheetName val="Agency_Presentation"/>
      <sheetName val="DUS_Gateway_Data"/>
      <sheetName val="DUS_Gateway_Data_Rules"/>
      <sheetName val="FREDDIE_I&amp;E"/>
      <sheetName val="FREDDIE_SENIORS_I&amp;E"/>
      <sheetName val="Agency_Metrics"/>
      <sheetName val="Aff_-_Full_S&amp;U_and_Subdebt"/>
      <sheetName val="Aff_-_Bond_Rate_Stack"/>
      <sheetName val="UW_-_PNOT"/>
      <sheetName val="UW_-_Immediate_Repairs"/>
      <sheetName val="Supplemental_Existing_Mtg_Data"/>
      <sheetName val="Supplemental_Quick_Analysis"/>
      <sheetName val="Supplemental_Value_Creation"/>
      <sheetName val="Supplemental_Loan_Request"/>
      <sheetName val="Supplemental_-_New_Loan_Test"/>
      <sheetName val="Supplemental_Cash_Flows"/>
      <sheetName val="Supplemental_Amort_Schedule"/>
      <sheetName val="Supplemental_SARM_Prin_Pmt"/>
      <sheetName val="FNMA_RR_Template"/>
      <sheetName val="Table_1"/>
      <sheetName val="Rent_Rolls"/>
      <sheetName val="Loan_Data"/>
      <sheetName val="Property_Loan_Specs_"/>
      <sheetName val="Tenant_Sales"/>
      <sheetName val="Venture_IRR"/>
      <sheetName val="LEASING_VELOCITY_REPORT"/>
      <sheetName val="_BUILDING_COSTS"/>
      <sheetName val="CASH_FLOW_BUDGET_"/>
      <sheetName val="LST_Map"/>
      <sheetName val="Refinance_Analysis"/>
      <sheetName val="BS_Sizing_Options"/>
      <sheetName val="DRR_Inputs"/>
      <sheetName val="Due_Diligence"/>
      <sheetName val="LST_Inputs"/>
      <sheetName val="Photos_(cont)"/>
      <sheetName val="Transaction_Summary"/>
      <sheetName val="Borr_Struct_Org"/>
      <sheetName val="Mortgage_Credit"/>
      <sheetName val="Rent_Comps_Summary"/>
      <sheetName val="3rd_Party_Reports"/>
      <sheetName val="Cashflow_Footnotes"/>
      <sheetName val="Refi_Test"/>
      <sheetName val="Cashflow_Summary"/>
      <sheetName val="Historic Market"/>
      <sheetName val="Project"/>
      <sheetName val="Projected CF"/>
      <sheetName val="Market Report"/>
      <sheetName val="Projected Occupancy"/>
      <sheetName val="Projected Rate"/>
      <sheetName val="CREDIT STATS"/>
      <sheetName val="1. Package Details"/>
      <sheetName val="Translation"/>
      <sheetName val="PF CF"/>
      <sheetName val="Capitalization"/>
      <sheetName val="Forecast %"/>
      <sheetName val="2008 BudgetWorksheet"/>
      <sheetName val="INPUTS"/>
      <sheetName val="Sources &amp; Uses"/>
      <sheetName val="Residential Pro Forma"/>
      <sheetName val="Bilan TVA"/>
      <sheetName val="AMF-by investor_OLD"/>
      <sheetName val="AMF Base 6-30"/>
      <sheetName val="Descriptions"/>
      <sheetName val="Debt-Equity Assumptions"/>
      <sheetName val="Input"/>
      <sheetName val="Sales"/>
      <sheetName val="H-INPUT"/>
      <sheetName val="10-YrProforma-PRINT"/>
      <sheetName val="DebtSupport"/>
      <sheetName val="Input Sheet Current Year"/>
      <sheetName val="Input Sheet Last Yea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 &amp; Projections"/>
      <sheetName val="Waterfall"/>
      <sheetName val="Presentation"/>
      <sheetName val="Loans"/>
    </sheetNames>
    <sheetDataSet>
      <sheetData sheetId="0"/>
      <sheetData sheetId="1">
        <row r="6">
          <cell r="AR6">
            <v>0</v>
          </cell>
          <cell r="AS6">
            <v>0</v>
          </cell>
        </row>
        <row r="7">
          <cell r="AQ7">
            <v>1</v>
          </cell>
          <cell r="AR7">
            <v>1</v>
          </cell>
          <cell r="AS7">
            <v>1</v>
          </cell>
        </row>
        <row r="8">
          <cell r="AQ8">
            <v>2</v>
          </cell>
          <cell r="AR8">
            <v>2</v>
          </cell>
          <cell r="AS8">
            <v>2</v>
          </cell>
        </row>
        <row r="9">
          <cell r="AQ9">
            <v>3</v>
          </cell>
          <cell r="AR9">
            <v>3</v>
          </cell>
          <cell r="AS9">
            <v>3</v>
          </cell>
        </row>
        <row r="10">
          <cell r="AQ10">
            <v>4</v>
          </cell>
          <cell r="AR10">
            <v>4</v>
          </cell>
          <cell r="AS10">
            <v>4</v>
          </cell>
        </row>
        <row r="11">
          <cell r="AQ11">
            <v>5</v>
          </cell>
          <cell r="AR11">
            <v>5</v>
          </cell>
          <cell r="AS11">
            <v>5</v>
          </cell>
        </row>
        <row r="12">
          <cell r="AQ12">
            <v>6</v>
          </cell>
          <cell r="AR12">
            <v>6</v>
          </cell>
          <cell r="AS12">
            <v>6</v>
          </cell>
        </row>
        <row r="13">
          <cell r="AQ13">
            <v>7</v>
          </cell>
          <cell r="AR13">
            <v>7</v>
          </cell>
          <cell r="AS13">
            <v>7</v>
          </cell>
        </row>
        <row r="14">
          <cell r="AQ14">
            <v>8</v>
          </cell>
          <cell r="AR14">
            <v>8</v>
          </cell>
          <cell r="AS14">
            <v>8</v>
          </cell>
        </row>
        <row r="15">
          <cell r="AQ15">
            <v>9</v>
          </cell>
          <cell r="AR15">
            <v>9</v>
          </cell>
          <cell r="AS15">
            <v>9</v>
          </cell>
        </row>
      </sheetData>
      <sheetData sheetId="2">
        <row r="6">
          <cell r="BD6" t="str">
            <v>Cumulative</v>
          </cell>
        </row>
        <row r="7">
          <cell r="BD7" t="str">
            <v>Non Cumulative</v>
          </cell>
        </row>
      </sheetData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Loan Analysis 4.20.16"/>
      <sheetName val="Loan%20Analysis%204.20.16.xlsx"/>
    </sheetNames>
    <definedNames>
      <definedName name="prnt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00A8-8B6B-064C-B51D-1736B7555776}">
  <dimension ref="C1:Z217"/>
  <sheetViews>
    <sheetView tabSelected="1" zoomScale="140" zoomScaleNormal="140" workbookViewId="0">
      <selection activeCell="S80" sqref="S80"/>
    </sheetView>
  </sheetViews>
  <sheetFormatPr baseColWidth="10" defaultColWidth="10.83203125" defaultRowHeight="14" outlineLevelCol="1" x14ac:dyDescent="0.2"/>
  <cols>
    <col min="1" max="2" width="10.83203125" style="1"/>
    <col min="3" max="3" width="64.5" style="1" hidden="1" customWidth="1" outlineLevel="1"/>
    <col min="4" max="4" width="3.1640625" style="1" customWidth="1" collapsed="1"/>
    <col min="5" max="5" width="26" style="1" customWidth="1"/>
    <col min="6" max="6" width="10.33203125" style="1" customWidth="1"/>
    <col min="7" max="7" width="7.5" style="1" customWidth="1"/>
    <col min="8" max="8" width="13.1640625" style="1" customWidth="1"/>
    <col min="9" max="9" width="8.33203125" style="1" customWidth="1"/>
    <col min="10" max="10" width="2.33203125" style="1" customWidth="1"/>
    <col min="11" max="11" width="8.83203125" style="1" customWidth="1"/>
    <col min="12" max="12" width="13.1640625" style="1" customWidth="1"/>
    <col min="13" max="13" width="9.6640625" style="1" customWidth="1"/>
    <col min="14" max="14" width="11" style="1" customWidth="1"/>
    <col min="15" max="15" width="9.33203125" style="1" customWidth="1"/>
    <col min="16" max="16" width="9" style="1" customWidth="1"/>
    <col min="17" max="17" width="15.83203125" style="1" customWidth="1"/>
    <col min="18" max="18" width="13.83203125" style="1" customWidth="1"/>
    <col min="19" max="19" width="10.83203125" style="1"/>
    <col min="20" max="20" width="15.33203125" style="1" customWidth="1"/>
    <col min="21" max="16384" width="10.83203125" style="1"/>
  </cols>
  <sheetData>
    <row r="1" spans="3:18" ht="15" thickBot="1" x14ac:dyDescent="0.25"/>
    <row r="2" spans="3:18" x14ac:dyDescent="0.2">
      <c r="E2" s="2" t="s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spans="3:18" ht="4.5" customHeight="1" x14ac:dyDescent="0.2">
      <c r="E3" s="5"/>
      <c r="R3" s="6"/>
    </row>
    <row r="4" spans="3:18" x14ac:dyDescent="0.2">
      <c r="E4" s="7" t="s">
        <v>1</v>
      </c>
      <c r="F4" s="8"/>
      <c r="G4" s="8"/>
      <c r="H4" s="8"/>
      <c r="I4" s="9"/>
      <c r="K4" s="10" t="s">
        <v>2</v>
      </c>
      <c r="L4" s="8"/>
      <c r="M4" s="8"/>
      <c r="N4" s="8"/>
      <c r="O4" s="8"/>
      <c r="P4" s="8"/>
      <c r="Q4" s="8"/>
      <c r="R4" s="11"/>
    </row>
    <row r="5" spans="3:18" ht="3.75" customHeight="1" x14ac:dyDescent="0.2">
      <c r="E5" s="12"/>
      <c r="F5" s="13"/>
      <c r="G5" s="13"/>
      <c r="H5" s="13"/>
      <c r="I5" s="13"/>
      <c r="K5" s="14"/>
      <c r="L5" s="13"/>
      <c r="M5" s="13"/>
      <c r="R5" s="6"/>
    </row>
    <row r="6" spans="3:18" x14ac:dyDescent="0.2">
      <c r="C6" s="15" t="s">
        <v>3</v>
      </c>
      <c r="E6" s="16"/>
      <c r="F6" s="17"/>
      <c r="G6" s="18" t="s">
        <v>4</v>
      </c>
      <c r="H6" s="18" t="s">
        <v>5</v>
      </c>
      <c r="I6" s="19" t="s">
        <v>6</v>
      </c>
      <c r="K6" s="20" t="s">
        <v>7</v>
      </c>
      <c r="L6" s="21"/>
      <c r="M6" s="22"/>
      <c r="N6" s="21" t="s">
        <v>8</v>
      </c>
      <c r="O6" s="21"/>
      <c r="P6" s="23" t="s">
        <v>9</v>
      </c>
      <c r="Q6" s="22"/>
      <c r="R6" s="24" t="s">
        <v>10</v>
      </c>
    </row>
    <row r="7" spans="3:18" x14ac:dyDescent="0.2">
      <c r="E7" s="25" t="s">
        <v>11</v>
      </c>
      <c r="F7" s="26"/>
      <c r="G7" s="27"/>
      <c r="H7" s="27"/>
      <c r="I7" s="28"/>
      <c r="K7" s="29" t="s">
        <v>12</v>
      </c>
      <c r="L7" s="30" t="s">
        <v>13</v>
      </c>
      <c r="M7" s="31" t="s">
        <v>14</v>
      </c>
      <c r="N7" s="30" t="s">
        <v>15</v>
      </c>
      <c r="O7" s="30" t="s">
        <v>16</v>
      </c>
      <c r="P7" s="32" t="s">
        <v>15</v>
      </c>
      <c r="Q7" s="31" t="s">
        <v>16</v>
      </c>
      <c r="R7" s="33" t="s">
        <v>17</v>
      </c>
    </row>
    <row r="8" spans="3:18" x14ac:dyDescent="0.2">
      <c r="C8" s="34" t="s">
        <v>18</v>
      </c>
      <c r="E8" s="35" t="s">
        <v>19</v>
      </c>
      <c r="F8" s="36"/>
      <c r="G8" s="37">
        <v>0.97399999999999998</v>
      </c>
      <c r="H8" s="37">
        <v>0.96499999999999997</v>
      </c>
      <c r="I8" s="38">
        <v>0.96499999999999997</v>
      </c>
      <c r="K8" s="39" t="s">
        <v>20</v>
      </c>
      <c r="L8" s="1">
        <v>21</v>
      </c>
      <c r="M8" s="40">
        <v>450</v>
      </c>
      <c r="N8" s="41">
        <v>1240</v>
      </c>
      <c r="O8" s="42">
        <f>N8/M8</f>
        <v>2.7555555555555555</v>
      </c>
      <c r="P8" s="43">
        <v>1310</v>
      </c>
      <c r="Q8" s="44">
        <f>P8/M8</f>
        <v>2.911111111111111</v>
      </c>
      <c r="R8" s="45">
        <f>P8/N8-1</f>
        <v>5.6451612903225756E-2</v>
      </c>
    </row>
    <row r="9" spans="3:18" x14ac:dyDescent="0.2">
      <c r="C9" s="34" t="s">
        <v>21</v>
      </c>
      <c r="E9" s="35" t="s">
        <v>22</v>
      </c>
      <c r="F9" s="36"/>
      <c r="G9" s="37">
        <v>0.98499999999999999</v>
      </c>
      <c r="H9" s="37">
        <v>0.97199999999999998</v>
      </c>
      <c r="I9" s="38">
        <v>0.97199999999999998</v>
      </c>
      <c r="K9" s="39" t="s">
        <v>23</v>
      </c>
      <c r="L9" s="1">
        <v>24</v>
      </c>
      <c r="M9" s="40">
        <v>520</v>
      </c>
      <c r="N9" s="41">
        <v>1320</v>
      </c>
      <c r="O9" s="42">
        <f t="shared" ref="O9:O14" si="0">N9/M9</f>
        <v>2.5384615384615383</v>
      </c>
      <c r="P9" s="43">
        <v>1330</v>
      </c>
      <c r="Q9" s="44">
        <f t="shared" ref="Q9:Q14" si="1">P9/M9</f>
        <v>2.5576923076923075</v>
      </c>
      <c r="R9" s="45">
        <f t="shared" ref="R9:R14" si="2">P9/N9-1</f>
        <v>7.575757575757569E-3</v>
      </c>
    </row>
    <row r="10" spans="3:18" x14ac:dyDescent="0.2">
      <c r="C10" s="34" t="s">
        <v>24</v>
      </c>
      <c r="E10" s="35" t="s">
        <v>25</v>
      </c>
      <c r="F10" s="36"/>
      <c r="G10" s="37">
        <v>0.92500000000000004</v>
      </c>
      <c r="H10" s="37">
        <v>0.94499999999999995</v>
      </c>
      <c r="I10" s="38">
        <v>0.94499999999999995</v>
      </c>
      <c r="K10" s="39" t="s">
        <v>26</v>
      </c>
      <c r="L10" s="1">
        <v>24</v>
      </c>
      <c r="M10" s="40">
        <v>620</v>
      </c>
      <c r="N10" s="41">
        <v>1650</v>
      </c>
      <c r="O10" s="42">
        <f t="shared" si="0"/>
        <v>2.661290322580645</v>
      </c>
      <c r="P10" s="43">
        <v>1800</v>
      </c>
      <c r="Q10" s="44">
        <f t="shared" si="1"/>
        <v>2.903225806451613</v>
      </c>
      <c r="R10" s="45">
        <f t="shared" si="2"/>
        <v>9.0909090909090828E-2</v>
      </c>
    </row>
    <row r="11" spans="3:18" x14ac:dyDescent="0.2">
      <c r="C11" s="34" t="s">
        <v>27</v>
      </c>
      <c r="E11" s="46" t="s">
        <v>28</v>
      </c>
      <c r="F11" s="47"/>
      <c r="G11" s="48">
        <v>0.90500000000000003</v>
      </c>
      <c r="H11" s="48">
        <v>0.92700000000000005</v>
      </c>
      <c r="I11" s="49">
        <v>0.92700000000000005</v>
      </c>
      <c r="K11" s="39" t="s">
        <v>29</v>
      </c>
      <c r="L11" s="1">
        <v>28</v>
      </c>
      <c r="M11" s="40">
        <v>680</v>
      </c>
      <c r="N11" s="41">
        <v>1750</v>
      </c>
      <c r="O11" s="42">
        <f t="shared" si="0"/>
        <v>2.5735294117647061</v>
      </c>
      <c r="P11" s="43">
        <v>1820</v>
      </c>
      <c r="Q11" s="44">
        <f t="shared" si="1"/>
        <v>2.6764705882352939</v>
      </c>
      <c r="R11" s="45">
        <f t="shared" si="2"/>
        <v>4.0000000000000036E-2</v>
      </c>
    </row>
    <row r="12" spans="3:18" x14ac:dyDescent="0.2">
      <c r="C12" s="34" t="s">
        <v>30</v>
      </c>
      <c r="E12" s="35" t="s">
        <v>31</v>
      </c>
      <c r="F12" s="36"/>
      <c r="G12" s="50">
        <v>5</v>
      </c>
      <c r="H12" s="50">
        <v>4</v>
      </c>
      <c r="I12" s="51">
        <v>4</v>
      </c>
      <c r="K12" s="39" t="s">
        <v>32</v>
      </c>
      <c r="L12" s="1">
        <v>25</v>
      </c>
      <c r="M12" s="40">
        <v>850</v>
      </c>
      <c r="N12" s="41">
        <v>2150</v>
      </c>
      <c r="O12" s="42">
        <f t="shared" si="0"/>
        <v>2.5294117647058822</v>
      </c>
      <c r="P12" s="43">
        <v>2250</v>
      </c>
      <c r="Q12" s="44">
        <f t="shared" si="1"/>
        <v>2.6470588235294117</v>
      </c>
      <c r="R12" s="45">
        <f t="shared" si="2"/>
        <v>4.6511627906976827E-2</v>
      </c>
    </row>
    <row r="13" spans="3:18" x14ac:dyDescent="0.2">
      <c r="C13" s="34" t="s">
        <v>33</v>
      </c>
      <c r="E13" s="35" t="s">
        <v>34</v>
      </c>
      <c r="F13" s="36"/>
      <c r="G13" s="50">
        <v>3</v>
      </c>
      <c r="H13" s="50">
        <v>2</v>
      </c>
      <c r="I13" s="51">
        <v>2</v>
      </c>
      <c r="K13" s="39" t="s">
        <v>35</v>
      </c>
      <c r="L13" s="1">
        <v>29</v>
      </c>
      <c r="M13" s="40">
        <v>950</v>
      </c>
      <c r="N13" s="41">
        <v>2420</v>
      </c>
      <c r="O13" s="42">
        <f t="shared" si="0"/>
        <v>2.5473684210526315</v>
      </c>
      <c r="P13" s="43">
        <v>2450</v>
      </c>
      <c r="Q13" s="44">
        <f t="shared" si="1"/>
        <v>2.5789473684210527</v>
      </c>
      <c r="R13" s="45">
        <f t="shared" si="2"/>
        <v>1.2396694214876103E-2</v>
      </c>
    </row>
    <row r="14" spans="3:18" x14ac:dyDescent="0.2">
      <c r="C14" s="34" t="s">
        <v>36</v>
      </c>
      <c r="E14" s="35" t="s">
        <v>37</v>
      </c>
      <c r="F14" s="36"/>
      <c r="G14" s="50">
        <f>SUM(G12:G13)</f>
        <v>8</v>
      </c>
      <c r="H14" s="50">
        <f>SUM(H12:H13)</f>
        <v>6</v>
      </c>
      <c r="I14" s="51">
        <f>SUM(I12:I13)</f>
        <v>6</v>
      </c>
      <c r="K14" s="39" t="s">
        <v>38</v>
      </c>
      <c r="L14" s="1">
        <v>35</v>
      </c>
      <c r="M14" s="40">
        <v>1260</v>
      </c>
      <c r="N14" s="41">
        <v>3080</v>
      </c>
      <c r="O14" s="42">
        <f t="shared" si="0"/>
        <v>2.4444444444444446</v>
      </c>
      <c r="P14" s="43">
        <v>3230</v>
      </c>
      <c r="Q14" s="44">
        <f t="shared" si="1"/>
        <v>2.5634920634920637</v>
      </c>
      <c r="R14" s="45">
        <f t="shared" si="2"/>
        <v>4.870129870129869E-2</v>
      </c>
    </row>
    <row r="15" spans="3:18" x14ac:dyDescent="0.2">
      <c r="C15" s="34" t="s">
        <v>39</v>
      </c>
      <c r="E15" s="46" t="s">
        <v>40</v>
      </c>
      <c r="F15" s="47"/>
      <c r="G15" s="52">
        <v>2</v>
      </c>
      <c r="H15" s="52">
        <v>1</v>
      </c>
      <c r="I15" s="53">
        <v>1</v>
      </c>
      <c r="K15" s="39" t="s">
        <v>41</v>
      </c>
      <c r="L15" s="1">
        <v>14</v>
      </c>
      <c r="M15" s="40">
        <v>1360</v>
      </c>
      <c r="N15" s="41">
        <v>3150</v>
      </c>
      <c r="O15" s="42">
        <f>N15/M15</f>
        <v>2.3161764705882355</v>
      </c>
      <c r="P15" s="43">
        <v>3231</v>
      </c>
      <c r="Q15" s="44">
        <f>P15/M15</f>
        <v>2.3757352941176473</v>
      </c>
      <c r="R15" s="54">
        <f>P15/N15-1</f>
        <v>2.5714285714285801E-2</v>
      </c>
    </row>
    <row r="16" spans="3:18" x14ac:dyDescent="0.2">
      <c r="C16" s="34" t="s">
        <v>42</v>
      </c>
      <c r="E16" s="35" t="s">
        <v>43</v>
      </c>
      <c r="F16" s="36"/>
      <c r="G16" s="50">
        <v>15</v>
      </c>
      <c r="H16" s="50">
        <v>13</v>
      </c>
      <c r="I16" s="51">
        <v>13</v>
      </c>
      <c r="K16" s="55" t="s">
        <v>15</v>
      </c>
      <c r="L16" s="56">
        <f>SUM(L8:L15)</f>
        <v>200</v>
      </c>
      <c r="M16" s="57">
        <f>SUMPRODUCT(M8:M15,L8:L15)/L16</f>
        <v>838.95</v>
      </c>
      <c r="N16" s="58">
        <f>SUMPRODUCT(N8:N15,L8:L15)/L16</f>
        <v>2110.75</v>
      </c>
      <c r="O16" s="59">
        <f>N16/M16</f>
        <v>2.5159425472316586</v>
      </c>
      <c r="P16" s="58">
        <f>SUMPRODUCT(P8:P15,L8:L15)/L16</f>
        <v>2195.87</v>
      </c>
      <c r="Q16" s="60">
        <f>P16/M16</f>
        <v>2.6174027057631561</v>
      </c>
      <c r="R16" s="61">
        <f>P16/N16-1</f>
        <v>4.0326898022029933E-2</v>
      </c>
    </row>
    <row r="17" spans="3:18" x14ac:dyDescent="0.2">
      <c r="C17" s="34" t="s">
        <v>44</v>
      </c>
      <c r="E17" s="35" t="s">
        <v>45</v>
      </c>
      <c r="F17" s="36"/>
      <c r="G17" s="50">
        <v>7</v>
      </c>
      <c r="H17" s="50">
        <v>5</v>
      </c>
      <c r="I17" s="51">
        <v>5</v>
      </c>
      <c r="R17" s="6"/>
    </row>
    <row r="18" spans="3:18" ht="14" customHeight="1" x14ac:dyDescent="0.2">
      <c r="C18" s="34" t="s">
        <v>46</v>
      </c>
      <c r="E18" s="46" t="s">
        <v>47</v>
      </c>
      <c r="F18" s="47"/>
      <c r="G18" s="62">
        <f>G17/G16</f>
        <v>0.46666666666666667</v>
      </c>
      <c r="H18" s="62">
        <f>H17/H16</f>
        <v>0.38461538461538464</v>
      </c>
      <c r="I18" s="63">
        <f>I17/I16</f>
        <v>0.38461538461538464</v>
      </c>
      <c r="K18" s="64" t="s">
        <v>48</v>
      </c>
      <c r="L18" s="65"/>
      <c r="M18" s="66"/>
      <c r="N18" s="66"/>
      <c r="O18" s="66"/>
      <c r="P18" s="66"/>
      <c r="Q18" s="66"/>
      <c r="R18" s="67"/>
    </row>
    <row r="19" spans="3:18" ht="13" customHeight="1" x14ac:dyDescent="0.2">
      <c r="C19" s="34" t="s">
        <v>49</v>
      </c>
      <c r="E19" s="35" t="s">
        <v>50</v>
      </c>
      <c r="F19" s="36"/>
      <c r="G19" s="50">
        <v>4</v>
      </c>
      <c r="H19" s="50">
        <v>5</v>
      </c>
      <c r="I19" s="51">
        <v>5</v>
      </c>
      <c r="K19" s="68" t="s">
        <v>51</v>
      </c>
      <c r="L19" s="69" t="s">
        <v>52</v>
      </c>
      <c r="M19" s="69" t="s">
        <v>53</v>
      </c>
      <c r="N19" s="69" t="s">
        <v>54</v>
      </c>
      <c r="O19" s="69" t="s">
        <v>55</v>
      </c>
      <c r="P19" s="69" t="s">
        <v>56</v>
      </c>
      <c r="Q19" s="70" t="s">
        <v>57</v>
      </c>
      <c r="R19" s="71"/>
    </row>
    <row r="20" spans="3:18" x14ac:dyDescent="0.2">
      <c r="C20" s="34" t="s">
        <v>58</v>
      </c>
      <c r="E20" s="35" t="s">
        <v>59</v>
      </c>
      <c r="F20" s="36"/>
      <c r="G20" s="50">
        <v>3</v>
      </c>
      <c r="H20" s="50">
        <v>7</v>
      </c>
      <c r="I20" s="51">
        <v>7</v>
      </c>
      <c r="K20" s="72" t="s">
        <v>60</v>
      </c>
      <c r="L20" s="73">
        <v>200</v>
      </c>
      <c r="M20" s="74">
        <f>SUMPRODUCT(P8:P9,L8:L9)/(L8+L9)</f>
        <v>1320.6666666666667</v>
      </c>
      <c r="N20" s="74">
        <f>SUMPRODUCT(P10:P11,M10:M11)/(M10+M11)</f>
        <v>1810.4615384615386</v>
      </c>
      <c r="O20" s="74">
        <f>SUMPRODUCT(P12:P13,N12:N13)/(N12+N13)</f>
        <v>2355.9080962800876</v>
      </c>
      <c r="P20" s="74">
        <f>SUMPRODUCT(P14:P15,O14:O15)/(O14+O15)</f>
        <v>3230.4865282306505</v>
      </c>
      <c r="Q20" s="75"/>
      <c r="R20" s="76"/>
    </row>
    <row r="21" spans="3:18" x14ac:dyDescent="0.2">
      <c r="C21" s="34" t="s">
        <v>46</v>
      </c>
      <c r="E21" s="46" t="s">
        <v>61</v>
      </c>
      <c r="F21" s="47"/>
      <c r="G21" s="52">
        <f>G20-G19</f>
        <v>-1</v>
      </c>
      <c r="H21" s="52">
        <f>H20-H19</f>
        <v>2</v>
      </c>
      <c r="I21" s="53">
        <f>I20-I19</f>
        <v>2</v>
      </c>
      <c r="K21" s="39" t="s">
        <v>62</v>
      </c>
      <c r="L21" s="1">
        <v>120</v>
      </c>
      <c r="M21" s="41">
        <v>1200</v>
      </c>
      <c r="N21" s="41">
        <v>1850</v>
      </c>
      <c r="O21" s="41">
        <v>2400</v>
      </c>
      <c r="P21" s="41">
        <v>3200</v>
      </c>
      <c r="Q21" s="77"/>
      <c r="R21" s="78"/>
    </row>
    <row r="22" spans="3:18" ht="14" customHeight="1" x14ac:dyDescent="0.2">
      <c r="C22" s="34" t="s">
        <v>63</v>
      </c>
      <c r="E22" s="35" t="s">
        <v>64</v>
      </c>
      <c r="F22" s="36"/>
      <c r="G22" s="79">
        <v>250</v>
      </c>
      <c r="H22" s="79">
        <v>250</v>
      </c>
      <c r="I22" s="80">
        <v>250</v>
      </c>
      <c r="K22" s="39" t="s">
        <v>65</v>
      </c>
      <c r="L22" s="1">
        <v>170</v>
      </c>
      <c r="M22" s="41">
        <v>1350</v>
      </c>
      <c r="N22" s="41">
        <v>1800</v>
      </c>
      <c r="O22" s="41">
        <v>2350</v>
      </c>
      <c r="P22" s="41">
        <v>3250</v>
      </c>
      <c r="Q22" s="81"/>
      <c r="R22" s="82"/>
    </row>
    <row r="23" spans="3:18" x14ac:dyDescent="0.2">
      <c r="C23" s="34" t="s">
        <v>66</v>
      </c>
      <c r="E23" s="35" t="s">
        <v>67</v>
      </c>
      <c r="F23" s="36"/>
      <c r="G23" s="79">
        <v>30</v>
      </c>
      <c r="H23" s="79">
        <v>30</v>
      </c>
      <c r="I23" s="80">
        <v>30</v>
      </c>
      <c r="K23" s="39" t="s">
        <v>68</v>
      </c>
      <c r="L23" s="1">
        <v>200</v>
      </c>
      <c r="M23" s="41">
        <v>1250</v>
      </c>
      <c r="N23" s="41">
        <v>1760</v>
      </c>
      <c r="O23" s="41">
        <v>2550</v>
      </c>
      <c r="P23" s="41">
        <v>3150</v>
      </c>
      <c r="Q23" s="81"/>
      <c r="R23" s="82"/>
    </row>
    <row r="24" spans="3:18" x14ac:dyDescent="0.2">
      <c r="C24" s="34" t="s">
        <v>46</v>
      </c>
      <c r="E24" s="83" t="s">
        <v>69</v>
      </c>
      <c r="F24" s="84"/>
      <c r="G24" s="85">
        <f>G23/G22</f>
        <v>0.12</v>
      </c>
      <c r="H24" s="85">
        <f>H23/H22</f>
        <v>0.12</v>
      </c>
      <c r="I24" s="86">
        <f>I23/I22</f>
        <v>0.12</v>
      </c>
      <c r="K24" s="39" t="s">
        <v>70</v>
      </c>
      <c r="L24" s="1">
        <v>185</v>
      </c>
      <c r="M24" s="41">
        <v>1220</v>
      </c>
      <c r="N24" s="41">
        <v>1900</v>
      </c>
      <c r="O24" s="41">
        <v>2500</v>
      </c>
      <c r="P24" s="41">
        <v>3300</v>
      </c>
      <c r="Q24" s="87"/>
      <c r="R24" s="88"/>
    </row>
    <row r="25" spans="3:18" ht="14" customHeight="1" x14ac:dyDescent="0.2">
      <c r="C25" s="34" t="s">
        <v>71</v>
      </c>
      <c r="E25" s="35" t="s">
        <v>72</v>
      </c>
      <c r="F25" s="36"/>
      <c r="G25" s="79">
        <v>20</v>
      </c>
      <c r="H25" s="79">
        <v>20</v>
      </c>
      <c r="I25" s="80">
        <v>20</v>
      </c>
      <c r="K25" s="55" t="s">
        <v>15</v>
      </c>
      <c r="L25" s="56">
        <f>SUM(L21:L24)</f>
        <v>675</v>
      </c>
      <c r="M25" s="89">
        <f>SUMPRODUCT(M21:M24,$L$21:$L$24)/$L$25</f>
        <v>1258.0740740740741</v>
      </c>
      <c r="N25" s="89">
        <f>SUMPRODUCT(N21:N24,$L$21:$L$24)/$L$25</f>
        <v>1824.4444444444443</v>
      </c>
      <c r="O25" s="89">
        <f>SUMPRODUCT(O21:O24,$L$21:$L$24)/$L$25</f>
        <v>2459.2592592592591</v>
      </c>
      <c r="P25" s="89">
        <f>SUMPRODUCT(P21:P24,$L$21:$L$24)/$L$25</f>
        <v>3225.1851851851852</v>
      </c>
      <c r="Q25" s="90"/>
      <c r="R25" s="91"/>
    </row>
    <row r="26" spans="3:18" ht="14" customHeight="1" x14ac:dyDescent="0.2">
      <c r="C26" s="34" t="s">
        <v>46</v>
      </c>
      <c r="E26" s="83" t="s">
        <v>73</v>
      </c>
      <c r="F26" s="84"/>
      <c r="G26" s="85">
        <f>G25/G23</f>
        <v>0.66666666666666663</v>
      </c>
      <c r="H26" s="85">
        <f>H25/H23</f>
        <v>0.66666666666666663</v>
      </c>
      <c r="I26" s="86">
        <f>I25/I23</f>
        <v>0.66666666666666663</v>
      </c>
      <c r="R26" s="6"/>
    </row>
    <row r="27" spans="3:18" ht="14" customHeight="1" x14ac:dyDescent="0.2">
      <c r="C27" s="34" t="s">
        <v>74</v>
      </c>
      <c r="E27" s="35" t="s">
        <v>75</v>
      </c>
      <c r="F27" s="36"/>
      <c r="G27" s="92">
        <v>10</v>
      </c>
      <c r="H27" s="92">
        <v>10</v>
      </c>
      <c r="I27" s="93">
        <v>10</v>
      </c>
      <c r="K27" s="64" t="s">
        <v>76</v>
      </c>
      <c r="L27" s="65"/>
      <c r="M27" s="94"/>
      <c r="N27" s="95" t="s">
        <v>77</v>
      </c>
      <c r="O27" s="95" t="s">
        <v>78</v>
      </c>
      <c r="P27" s="66"/>
      <c r="Q27" s="66"/>
      <c r="R27" s="67"/>
    </row>
    <row r="28" spans="3:18" ht="14" customHeight="1" x14ac:dyDescent="0.2">
      <c r="C28" s="34" t="s">
        <v>46</v>
      </c>
      <c r="E28" s="83" t="s">
        <v>79</v>
      </c>
      <c r="F28" s="84"/>
      <c r="G28" s="85">
        <f>G27/G22</f>
        <v>0.04</v>
      </c>
      <c r="H28" s="85">
        <f>H27/H22</f>
        <v>0.04</v>
      </c>
      <c r="I28" s="86">
        <f>I27/I22</f>
        <v>0.04</v>
      </c>
      <c r="K28" s="96" t="s">
        <v>80</v>
      </c>
      <c r="L28" s="97" t="s">
        <v>12</v>
      </c>
      <c r="M28" s="97" t="s">
        <v>14</v>
      </c>
      <c r="N28" s="98" t="s">
        <v>81</v>
      </c>
      <c r="O28" s="98" t="s">
        <v>81</v>
      </c>
      <c r="P28" s="97" t="s">
        <v>82</v>
      </c>
      <c r="Q28" s="97" t="s">
        <v>83</v>
      </c>
      <c r="R28" s="99" t="s">
        <v>84</v>
      </c>
    </row>
    <row r="29" spans="3:18" x14ac:dyDescent="0.2">
      <c r="C29" s="34" t="s">
        <v>46</v>
      </c>
      <c r="E29" s="83" t="s">
        <v>85</v>
      </c>
      <c r="F29" s="84"/>
      <c r="G29" s="85">
        <f>G27/G23</f>
        <v>0.33333333333333331</v>
      </c>
      <c r="H29" s="85">
        <f>H27/H23</f>
        <v>0.33333333333333331</v>
      </c>
      <c r="I29" s="86">
        <f>I27/I23</f>
        <v>0.33333333333333331</v>
      </c>
      <c r="K29" s="39">
        <v>112</v>
      </c>
      <c r="L29" s="1" t="s">
        <v>26</v>
      </c>
      <c r="M29" s="100">
        <v>615</v>
      </c>
      <c r="N29" s="41">
        <v>1885</v>
      </c>
      <c r="O29" s="41">
        <v>1800</v>
      </c>
      <c r="P29" s="101">
        <f>N29/O29-1</f>
        <v>4.7222222222222276E-2</v>
      </c>
      <c r="Q29" s="102">
        <f>N29-O29</f>
        <v>85</v>
      </c>
      <c r="R29" s="103">
        <v>45992</v>
      </c>
    </row>
    <row r="30" spans="3:18" x14ac:dyDescent="0.2">
      <c r="C30" s="34" t="s">
        <v>46</v>
      </c>
      <c r="E30" s="104" t="s">
        <v>86</v>
      </c>
      <c r="F30" s="105"/>
      <c r="G30" s="106">
        <f>G27/G25</f>
        <v>0.5</v>
      </c>
      <c r="H30" s="106">
        <f>H27/H25</f>
        <v>0.5</v>
      </c>
      <c r="I30" s="107">
        <f>I27/I25</f>
        <v>0.5</v>
      </c>
      <c r="K30" s="39">
        <v>124</v>
      </c>
      <c r="L30" s="1" t="s">
        <v>35</v>
      </c>
      <c r="M30" s="100">
        <v>945</v>
      </c>
      <c r="N30" s="41">
        <v>2495</v>
      </c>
      <c r="O30" s="41">
        <v>2400</v>
      </c>
      <c r="P30" s="101">
        <f>N30/O30-1</f>
        <v>3.9583333333333304E-2</v>
      </c>
      <c r="Q30" s="102">
        <f>N30-O30</f>
        <v>95</v>
      </c>
      <c r="R30" s="103">
        <v>46001</v>
      </c>
    </row>
    <row r="31" spans="3:18" x14ac:dyDescent="0.2">
      <c r="C31" s="50"/>
      <c r="E31" s="5"/>
      <c r="K31" s="39">
        <v>211</v>
      </c>
      <c r="L31" s="1" t="s">
        <v>20</v>
      </c>
      <c r="M31" s="100">
        <v>465</v>
      </c>
      <c r="N31" s="41">
        <v>1330</v>
      </c>
      <c r="O31" s="41">
        <v>1250</v>
      </c>
      <c r="P31" s="108">
        <f>N31/O31-1</f>
        <v>6.4000000000000057E-2</v>
      </c>
      <c r="Q31" s="109">
        <f>N31-O31</f>
        <v>80</v>
      </c>
      <c r="R31" s="103">
        <v>45994</v>
      </c>
    </row>
    <row r="32" spans="3:18" x14ac:dyDescent="0.2">
      <c r="C32" s="50"/>
      <c r="E32" s="7" t="s">
        <v>87</v>
      </c>
      <c r="F32" s="8"/>
      <c r="G32" s="8"/>
      <c r="H32" s="8"/>
      <c r="I32" s="110"/>
      <c r="K32" s="55" t="s">
        <v>15</v>
      </c>
      <c r="L32" s="56"/>
      <c r="M32" s="111">
        <f>SUM(M29:M31)/3</f>
        <v>675</v>
      </c>
      <c r="N32" s="112">
        <f>SUM(N29:N31)/3</f>
        <v>1903.3333333333333</v>
      </c>
      <c r="O32" s="112">
        <f>SUM(O29:O31)/3</f>
        <v>1816.6666666666667</v>
      </c>
      <c r="P32" s="113">
        <f>N32/O32-1</f>
        <v>4.7706422018348515E-2</v>
      </c>
      <c r="Q32" s="114">
        <f>N32-O32</f>
        <v>86.666666666666515</v>
      </c>
      <c r="R32" s="115"/>
    </row>
    <row r="33" spans="3:18" ht="6.75" customHeight="1" x14ac:dyDescent="0.2">
      <c r="C33" s="50"/>
      <c r="E33" s="5"/>
      <c r="I33" s="116"/>
      <c r="R33" s="6"/>
    </row>
    <row r="34" spans="3:18" ht="13" customHeight="1" x14ac:dyDescent="0.2">
      <c r="C34" s="34"/>
      <c r="E34" s="117" t="s">
        <v>88</v>
      </c>
      <c r="F34" s="118" t="s">
        <v>89</v>
      </c>
      <c r="G34" s="118" t="s">
        <v>90</v>
      </c>
      <c r="H34" s="118" t="s">
        <v>91</v>
      </c>
      <c r="I34" s="119" t="s">
        <v>92</v>
      </c>
      <c r="K34" s="64" t="s">
        <v>93</v>
      </c>
      <c r="L34" s="65"/>
      <c r="M34" s="94"/>
      <c r="N34" s="95" t="s">
        <v>77</v>
      </c>
      <c r="O34" s="95" t="s">
        <v>78</v>
      </c>
      <c r="P34" s="66"/>
      <c r="Q34" s="66"/>
      <c r="R34" s="67"/>
    </row>
    <row r="35" spans="3:18" ht="14" customHeight="1" x14ac:dyDescent="0.2">
      <c r="C35" s="34" t="s">
        <v>94</v>
      </c>
      <c r="E35" s="120">
        <f>SUM(F35:I35)</f>
        <v>83000</v>
      </c>
      <c r="F35" s="121">
        <v>35000</v>
      </c>
      <c r="G35" s="121">
        <v>18000</v>
      </c>
      <c r="H35" s="121">
        <v>9000</v>
      </c>
      <c r="I35" s="122">
        <v>21000</v>
      </c>
      <c r="K35" s="96" t="s">
        <v>80</v>
      </c>
      <c r="L35" s="97" t="s">
        <v>12</v>
      </c>
      <c r="M35" s="97" t="s">
        <v>14</v>
      </c>
      <c r="N35" s="98" t="s">
        <v>81</v>
      </c>
      <c r="O35" s="98" t="s">
        <v>81</v>
      </c>
      <c r="P35" s="97" t="s">
        <v>82</v>
      </c>
      <c r="Q35" s="97" t="s">
        <v>83</v>
      </c>
      <c r="R35" s="99" t="s">
        <v>84</v>
      </c>
    </row>
    <row r="36" spans="3:18" x14ac:dyDescent="0.2">
      <c r="C36" s="34"/>
      <c r="E36" s="117" t="s">
        <v>95</v>
      </c>
      <c r="F36" s="118" t="s">
        <v>52</v>
      </c>
      <c r="G36" s="118" t="s">
        <v>96</v>
      </c>
      <c r="H36" s="118" t="s">
        <v>97</v>
      </c>
      <c r="I36" s="119"/>
      <c r="K36" s="39">
        <v>112</v>
      </c>
      <c r="L36" s="1" t="s">
        <v>26</v>
      </c>
      <c r="M36" s="100">
        <v>615</v>
      </c>
      <c r="N36" s="41">
        <v>1885</v>
      </c>
      <c r="O36" s="41">
        <v>1800</v>
      </c>
      <c r="P36" s="101">
        <f>N36/O36-1</f>
        <v>4.7222222222222276E-2</v>
      </c>
      <c r="Q36" s="102">
        <f>N36-O36</f>
        <v>85</v>
      </c>
      <c r="R36" s="103">
        <v>45992</v>
      </c>
    </row>
    <row r="37" spans="3:18" x14ac:dyDescent="0.2">
      <c r="C37" s="34" t="s">
        <v>98</v>
      </c>
      <c r="E37" s="120">
        <v>12000</v>
      </c>
      <c r="F37" s="123">
        <v>5</v>
      </c>
      <c r="G37" s="123">
        <v>5</v>
      </c>
      <c r="H37" s="123">
        <v>2</v>
      </c>
      <c r="I37" s="124"/>
      <c r="K37" s="39">
        <v>124</v>
      </c>
      <c r="L37" s="1" t="s">
        <v>35</v>
      </c>
      <c r="M37" s="100">
        <v>945</v>
      </c>
      <c r="N37" s="41">
        <v>2495</v>
      </c>
      <c r="O37" s="41">
        <v>2400</v>
      </c>
      <c r="P37" s="101">
        <f>N37/O37-1</f>
        <v>3.9583333333333304E-2</v>
      </c>
      <c r="Q37" s="102">
        <f>N37-O37</f>
        <v>95</v>
      </c>
      <c r="R37" s="103">
        <v>46001</v>
      </c>
    </row>
    <row r="38" spans="3:18" x14ac:dyDescent="0.2">
      <c r="C38" s="34"/>
      <c r="E38" s="117" t="s">
        <v>99</v>
      </c>
      <c r="F38" s="118" t="s">
        <v>89</v>
      </c>
      <c r="G38" s="118" t="s">
        <v>90</v>
      </c>
      <c r="H38" s="118" t="s">
        <v>91</v>
      </c>
      <c r="I38" s="119" t="s">
        <v>92</v>
      </c>
      <c r="K38" s="39">
        <v>211</v>
      </c>
      <c r="L38" s="1" t="s">
        <v>20</v>
      </c>
      <c r="M38" s="100">
        <v>465</v>
      </c>
      <c r="N38" s="41">
        <v>1330</v>
      </c>
      <c r="O38" s="41">
        <v>1250</v>
      </c>
      <c r="P38" s="108">
        <f>N38/O38-1</f>
        <v>6.4000000000000057E-2</v>
      </c>
      <c r="Q38" s="109">
        <f>N38-O38</f>
        <v>80</v>
      </c>
      <c r="R38" s="103">
        <v>45994</v>
      </c>
    </row>
    <row r="39" spans="3:18" ht="15" thickBot="1" x14ac:dyDescent="0.25">
      <c r="C39" s="34" t="s">
        <v>100</v>
      </c>
      <c r="E39" s="125">
        <f>SUM(F39:I39)</f>
        <v>12100</v>
      </c>
      <c r="F39" s="126">
        <v>2600</v>
      </c>
      <c r="G39" s="126">
        <v>1200</v>
      </c>
      <c r="H39" s="126">
        <v>300</v>
      </c>
      <c r="I39" s="127">
        <v>8000</v>
      </c>
      <c r="J39" s="128"/>
      <c r="K39" s="129" t="s">
        <v>15</v>
      </c>
      <c r="L39" s="130"/>
      <c r="M39" s="131">
        <f>SUM(M36:M38)/3</f>
        <v>675</v>
      </c>
      <c r="N39" s="132">
        <f>SUM(N36:N38)/3</f>
        <v>1903.3333333333333</v>
      </c>
      <c r="O39" s="132">
        <f>SUM(O36:O38)/3</f>
        <v>1816.6666666666667</v>
      </c>
      <c r="P39" s="133">
        <f>N39/O39-1</f>
        <v>4.7706422018348515E-2</v>
      </c>
      <c r="Q39" s="134">
        <f>N39-O39</f>
        <v>86.666666666666515</v>
      </c>
      <c r="R39" s="135"/>
    </row>
    <row r="40" spans="3:18" ht="4" customHeight="1" thickBot="1" x14ac:dyDescent="0.25">
      <c r="E40" s="5"/>
      <c r="R40" s="6"/>
    </row>
    <row r="41" spans="3:18" ht="15" thickBot="1" x14ac:dyDescent="0.25">
      <c r="E41" s="136" t="s">
        <v>101</v>
      </c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8"/>
    </row>
    <row r="42" spans="3:18" ht="3" customHeight="1" x14ac:dyDescent="0.2">
      <c r="E42" s="5"/>
      <c r="R42" s="6"/>
    </row>
    <row r="43" spans="3:18" x14ac:dyDescent="0.2">
      <c r="E43" s="139" t="s">
        <v>102</v>
      </c>
      <c r="F43" s="140" t="s">
        <v>103</v>
      </c>
      <c r="G43" s="141"/>
      <c r="H43" s="140" t="s">
        <v>6</v>
      </c>
      <c r="I43" s="141"/>
      <c r="J43" s="142"/>
      <c r="K43" s="143" t="s">
        <v>104</v>
      </c>
      <c r="L43" s="144"/>
      <c r="M43" s="140" t="s">
        <v>103</v>
      </c>
      <c r="N43" s="141"/>
      <c r="O43" s="140" t="s">
        <v>6</v>
      </c>
      <c r="P43" s="141"/>
      <c r="Q43" s="145"/>
      <c r="R43" s="146"/>
    </row>
    <row r="44" spans="3:18" x14ac:dyDescent="0.2">
      <c r="E44" s="147"/>
      <c r="F44" s="148" t="s">
        <v>105</v>
      </c>
      <c r="G44" s="149" t="s">
        <v>106</v>
      </c>
      <c r="H44" s="150" t="s">
        <v>105</v>
      </c>
      <c r="I44" s="151" t="s">
        <v>106</v>
      </c>
      <c r="K44" s="152"/>
      <c r="L44" s="153"/>
      <c r="M44" s="150" t="s">
        <v>105</v>
      </c>
      <c r="N44" s="151" t="s">
        <v>106</v>
      </c>
      <c r="O44" s="150" t="s">
        <v>105</v>
      </c>
      <c r="P44" s="151" t="s">
        <v>106</v>
      </c>
      <c r="Q44" s="154"/>
      <c r="R44" s="155"/>
    </row>
    <row r="45" spans="3:18" x14ac:dyDescent="0.2">
      <c r="E45" s="5" t="s">
        <v>107</v>
      </c>
      <c r="F45" s="156">
        <f>G45</f>
        <v>440000</v>
      </c>
      <c r="G45" s="157">
        <f>200*2200</f>
        <v>440000</v>
      </c>
      <c r="H45" s="156">
        <f>F45*2</f>
        <v>880000</v>
      </c>
      <c r="I45" s="157">
        <f>G45*2</f>
        <v>880000</v>
      </c>
      <c r="K45" s="158" t="s">
        <v>108</v>
      </c>
      <c r="L45" s="159"/>
      <c r="M45" s="156">
        <f>-25000</f>
        <v>-25000</v>
      </c>
      <c r="N45" s="157">
        <f>-27000</f>
        <v>-27000</v>
      </c>
      <c r="O45" s="156">
        <f>M45*2</f>
        <v>-50000</v>
      </c>
      <c r="P45" s="157">
        <f>N45*2</f>
        <v>-54000</v>
      </c>
      <c r="Q45" s="160"/>
      <c r="R45" s="6"/>
    </row>
    <row r="46" spans="3:18" x14ac:dyDescent="0.2">
      <c r="E46" s="5" t="s">
        <v>109</v>
      </c>
      <c r="F46" s="161">
        <f>F47-F45</f>
        <v>-17850</v>
      </c>
      <c r="G46" s="162">
        <f>G47-G45</f>
        <v>-10000</v>
      </c>
      <c r="H46" s="161">
        <f>F46*2</f>
        <v>-35700</v>
      </c>
      <c r="I46" s="162">
        <f>G46*2</f>
        <v>-20000</v>
      </c>
      <c r="K46" s="163" t="s">
        <v>110</v>
      </c>
      <c r="L46" s="164"/>
      <c r="M46" s="161">
        <f>-6000</f>
        <v>-6000</v>
      </c>
      <c r="N46" s="162">
        <f>-5500</f>
        <v>-5500</v>
      </c>
      <c r="O46" s="161">
        <f>M46*2</f>
        <v>-12000</v>
      </c>
      <c r="P46" s="162">
        <f>N46*2</f>
        <v>-11000</v>
      </c>
      <c r="Q46" s="165"/>
      <c r="R46" s="6"/>
    </row>
    <row r="47" spans="3:18" x14ac:dyDescent="0.2">
      <c r="E47" s="166" t="s">
        <v>111</v>
      </c>
      <c r="F47" s="167">
        <f>N16*L16</f>
        <v>422150</v>
      </c>
      <c r="G47" s="168">
        <v>430000</v>
      </c>
      <c r="H47" s="167">
        <f t="shared" ref="H47:I54" si="3">F47*2</f>
        <v>844300</v>
      </c>
      <c r="I47" s="168">
        <f t="shared" si="3"/>
        <v>860000</v>
      </c>
      <c r="K47" s="163" t="s">
        <v>112</v>
      </c>
      <c r="L47" s="164"/>
      <c r="M47" s="169">
        <f>-3500</f>
        <v>-3500</v>
      </c>
      <c r="N47" s="170">
        <f>-4000</f>
        <v>-4000</v>
      </c>
      <c r="O47" s="169">
        <f t="shared" ref="O47:P54" si="4">M47*2</f>
        <v>-7000</v>
      </c>
      <c r="P47" s="170">
        <f t="shared" si="4"/>
        <v>-8000</v>
      </c>
      <c r="Q47" s="165"/>
      <c r="R47" s="6"/>
    </row>
    <row r="48" spans="3:18" x14ac:dyDescent="0.2">
      <c r="E48" s="5" t="s">
        <v>113</v>
      </c>
      <c r="F48" s="161">
        <v>-1500</v>
      </c>
      <c r="G48" s="162">
        <v>-2500</v>
      </c>
      <c r="H48" s="161">
        <f t="shared" si="3"/>
        <v>-3000</v>
      </c>
      <c r="I48" s="162">
        <f t="shared" si="3"/>
        <v>-5000</v>
      </c>
      <c r="K48" s="163" t="s">
        <v>114</v>
      </c>
      <c r="L48" s="164"/>
      <c r="M48" s="169">
        <f>-32000</f>
        <v>-32000</v>
      </c>
      <c r="N48" s="170">
        <f>-28000</f>
        <v>-28000</v>
      </c>
      <c r="O48" s="169">
        <f t="shared" si="4"/>
        <v>-64000</v>
      </c>
      <c r="P48" s="170">
        <f t="shared" si="4"/>
        <v>-56000</v>
      </c>
      <c r="Q48" s="160"/>
      <c r="R48" s="6"/>
    </row>
    <row r="49" spans="3:20" x14ac:dyDescent="0.2">
      <c r="E49" s="5" t="s">
        <v>115</v>
      </c>
      <c r="F49" s="171">
        <f>-2500</f>
        <v>-2500</v>
      </c>
      <c r="G49" s="162">
        <f>F49</f>
        <v>-2500</v>
      </c>
      <c r="H49" s="171">
        <f t="shared" si="3"/>
        <v>-5000</v>
      </c>
      <c r="I49" s="162">
        <f t="shared" si="3"/>
        <v>-5000</v>
      </c>
      <c r="K49" s="163" t="s">
        <v>116</v>
      </c>
      <c r="L49" s="164"/>
      <c r="M49" s="172">
        <f>-9000</f>
        <v>-9000</v>
      </c>
      <c r="N49" s="170">
        <f>-7500</f>
        <v>-7500</v>
      </c>
      <c r="O49" s="172">
        <f t="shared" si="4"/>
        <v>-18000</v>
      </c>
      <c r="P49" s="170">
        <f t="shared" si="4"/>
        <v>-15000</v>
      </c>
      <c r="Q49" s="160"/>
      <c r="R49" s="6"/>
    </row>
    <row r="50" spans="3:20" x14ac:dyDescent="0.2">
      <c r="E50" s="5" t="s">
        <v>117</v>
      </c>
      <c r="F50" s="171">
        <f>-(1-G8)*F45</f>
        <v>-11440.000000000011</v>
      </c>
      <c r="G50" s="162">
        <f>-13000</f>
        <v>-13000</v>
      </c>
      <c r="H50" s="171">
        <f t="shared" si="3"/>
        <v>-22880.000000000022</v>
      </c>
      <c r="I50" s="162">
        <f t="shared" si="3"/>
        <v>-26000</v>
      </c>
      <c r="K50" s="163" t="s">
        <v>118</v>
      </c>
      <c r="L50" s="164"/>
      <c r="M50" s="172">
        <f>-4500</f>
        <v>-4500</v>
      </c>
      <c r="N50" s="170">
        <f>-6500</f>
        <v>-6500</v>
      </c>
      <c r="O50" s="172">
        <f t="shared" si="4"/>
        <v>-9000</v>
      </c>
      <c r="P50" s="170">
        <f t="shared" si="4"/>
        <v>-13000</v>
      </c>
      <c r="Q50" s="160"/>
      <c r="R50" s="6"/>
    </row>
    <row r="51" spans="3:20" x14ac:dyDescent="0.2">
      <c r="E51" s="5" t="s">
        <v>119</v>
      </c>
      <c r="F51" s="161">
        <f>-2500</f>
        <v>-2500</v>
      </c>
      <c r="G51" s="162">
        <f>-2000</f>
        <v>-2000</v>
      </c>
      <c r="H51" s="161">
        <f t="shared" si="3"/>
        <v>-5000</v>
      </c>
      <c r="I51" s="162">
        <f t="shared" si="3"/>
        <v>-4000</v>
      </c>
      <c r="K51" s="163" t="s">
        <v>120</v>
      </c>
      <c r="L51" s="164"/>
      <c r="M51" s="169">
        <f>-23000</f>
        <v>-23000</v>
      </c>
      <c r="N51" s="170">
        <f>-22000</f>
        <v>-22000</v>
      </c>
      <c r="O51" s="169">
        <f t="shared" si="4"/>
        <v>-46000</v>
      </c>
      <c r="P51" s="170">
        <f t="shared" si="4"/>
        <v>-44000</v>
      </c>
      <c r="Q51" s="160"/>
      <c r="R51" s="6"/>
    </row>
    <row r="52" spans="3:20" x14ac:dyDescent="0.2">
      <c r="E52" s="5" t="s">
        <v>121</v>
      </c>
      <c r="F52" s="161">
        <f>-500</f>
        <v>-500</v>
      </c>
      <c r="G52" s="162">
        <f>-500</f>
        <v>-500</v>
      </c>
      <c r="H52" s="161">
        <f t="shared" si="3"/>
        <v>-1000</v>
      </c>
      <c r="I52" s="162">
        <f t="shared" si="3"/>
        <v>-1000</v>
      </c>
      <c r="K52" s="163" t="s">
        <v>122</v>
      </c>
      <c r="L52" s="164"/>
      <c r="M52" s="169">
        <f>-12000</f>
        <v>-12000</v>
      </c>
      <c r="N52" s="170">
        <f>-12000</f>
        <v>-12000</v>
      </c>
      <c r="O52" s="169">
        <f t="shared" si="4"/>
        <v>-24000</v>
      </c>
      <c r="P52" s="170">
        <f t="shared" si="4"/>
        <v>-24000</v>
      </c>
      <c r="Q52" s="160"/>
      <c r="R52" s="6"/>
    </row>
    <row r="53" spans="3:20" x14ac:dyDescent="0.2">
      <c r="E53" s="166" t="s">
        <v>123</v>
      </c>
      <c r="F53" s="167">
        <f>SUM(F48:F52)</f>
        <v>-18440.000000000011</v>
      </c>
      <c r="G53" s="168">
        <f>SUM(G48:G52)</f>
        <v>-20500</v>
      </c>
      <c r="H53" s="167">
        <f t="shared" si="3"/>
        <v>-36880.000000000022</v>
      </c>
      <c r="I53" s="168">
        <f t="shared" si="3"/>
        <v>-41000</v>
      </c>
      <c r="K53" s="163" t="s">
        <v>124</v>
      </c>
      <c r="L53" s="164"/>
      <c r="M53" s="169">
        <f>-45000</f>
        <v>-45000</v>
      </c>
      <c r="N53" s="170">
        <f>-45000</f>
        <v>-45000</v>
      </c>
      <c r="O53" s="169">
        <f t="shared" si="4"/>
        <v>-90000</v>
      </c>
      <c r="P53" s="170">
        <f t="shared" si="4"/>
        <v>-90000</v>
      </c>
      <c r="Q53" s="160"/>
      <c r="R53" s="6"/>
    </row>
    <row r="54" spans="3:20" x14ac:dyDescent="0.2">
      <c r="E54" s="166" t="s">
        <v>125</v>
      </c>
      <c r="F54" s="173">
        <v>40000</v>
      </c>
      <c r="G54" s="174">
        <v>43000</v>
      </c>
      <c r="H54" s="173">
        <f t="shared" si="3"/>
        <v>80000</v>
      </c>
      <c r="I54" s="174">
        <f t="shared" si="3"/>
        <v>86000</v>
      </c>
      <c r="K54" s="175" t="s">
        <v>126</v>
      </c>
      <c r="L54" s="176"/>
      <c r="M54" s="177">
        <f>-F55*0.03</f>
        <v>-13311.3</v>
      </c>
      <c r="N54" s="178">
        <f>-0.03*G55</f>
        <v>-13575</v>
      </c>
      <c r="O54" s="177">
        <f t="shared" si="4"/>
        <v>-26622.6</v>
      </c>
      <c r="P54" s="178">
        <f t="shared" si="4"/>
        <v>-27150</v>
      </c>
      <c r="Q54" s="179"/>
      <c r="R54" s="180"/>
    </row>
    <row r="55" spans="3:20" x14ac:dyDescent="0.2">
      <c r="E55" s="181" t="s">
        <v>127</v>
      </c>
      <c r="F55" s="182">
        <f>F47+F53+F54</f>
        <v>443710</v>
      </c>
      <c r="G55" s="183">
        <f>G47+G53+G54</f>
        <v>452500</v>
      </c>
      <c r="H55" s="184">
        <f>H47+H53+H54</f>
        <v>887420</v>
      </c>
      <c r="I55" s="185">
        <f>I47+I53+I54</f>
        <v>905000</v>
      </c>
      <c r="J55" s="186"/>
      <c r="K55" s="187" t="s">
        <v>128</v>
      </c>
      <c r="L55" s="188"/>
      <c r="M55" s="189">
        <f>SUM(M45:M54)</f>
        <v>-173311.3</v>
      </c>
      <c r="N55" s="190">
        <f>SUM(N45:N54)</f>
        <v>-171075</v>
      </c>
      <c r="O55" s="189">
        <f>SUM(O45:O54)</f>
        <v>-346622.6</v>
      </c>
      <c r="P55" s="190">
        <f>SUM(P45:P54)</f>
        <v>-342150</v>
      </c>
      <c r="Q55" s="191"/>
      <c r="R55" s="192"/>
    </row>
    <row r="56" spans="3:20" ht="12" customHeight="1" x14ac:dyDescent="0.2">
      <c r="E56" s="5"/>
      <c r="F56" s="160"/>
      <c r="G56" s="40"/>
      <c r="H56" s="160"/>
      <c r="I56" s="40"/>
      <c r="K56" s="193" t="s">
        <v>129</v>
      </c>
      <c r="M56" s="194">
        <f>-M55/F55</f>
        <v>0.39059588469946582</v>
      </c>
      <c r="N56" s="195">
        <f>-N55/G55</f>
        <v>0.37806629834254146</v>
      </c>
      <c r="O56" s="194">
        <f>-O55/H55</f>
        <v>0.39059588469946582</v>
      </c>
      <c r="P56" s="196">
        <f>-P55/I55</f>
        <v>0.37806629834254146</v>
      </c>
      <c r="R56" s="6"/>
    </row>
    <row r="57" spans="3:20" ht="15" thickBot="1" x14ac:dyDescent="0.25">
      <c r="E57" s="197"/>
      <c r="F57" s="198" t="s">
        <v>130</v>
      </c>
      <c r="G57" s="199">
        <v>0.25</v>
      </c>
      <c r="H57" s="200" t="s">
        <v>131</v>
      </c>
      <c r="I57" s="201">
        <v>0.05</v>
      </c>
      <c r="J57" s="202"/>
      <c r="K57" s="203" t="s">
        <v>132</v>
      </c>
      <c r="L57" s="204"/>
      <c r="M57" s="205">
        <f>F55+M55</f>
        <v>270398.7</v>
      </c>
      <c r="N57" s="206">
        <f>G55+N55</f>
        <v>281425</v>
      </c>
      <c r="O57" s="205">
        <f>H55+O55</f>
        <v>540797.4</v>
      </c>
      <c r="P57" s="206">
        <f>I55+P55</f>
        <v>562850</v>
      </c>
      <c r="Q57" s="204"/>
      <c r="R57" s="207"/>
    </row>
    <row r="58" spans="3:20" ht="5" customHeight="1" x14ac:dyDescent="0.2"/>
    <row r="59" spans="3:20" ht="13" customHeight="1" x14ac:dyDescent="0.2">
      <c r="E59" s="208" t="s">
        <v>133</v>
      </c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10"/>
    </row>
    <row r="60" spans="3:20" ht="6" customHeight="1" x14ac:dyDescent="0.2"/>
    <row r="61" spans="3:20" x14ac:dyDescent="0.2">
      <c r="E61" s="211" t="s">
        <v>134</v>
      </c>
      <c r="F61" s="212"/>
      <c r="G61" s="213" t="s">
        <v>135</v>
      </c>
      <c r="H61" s="214"/>
      <c r="I61" s="215"/>
      <c r="K61" s="211" t="s">
        <v>136</v>
      </c>
      <c r="L61" s="216"/>
      <c r="M61" s="212"/>
      <c r="N61" s="217" t="s">
        <v>137</v>
      </c>
      <c r="O61" s="218"/>
      <c r="P61" s="218"/>
      <c r="Q61" s="218"/>
      <c r="R61" s="218"/>
      <c r="S61" s="218"/>
      <c r="T61" s="219"/>
    </row>
    <row r="62" spans="3:20" x14ac:dyDescent="0.2">
      <c r="C62" s="1" t="s">
        <v>138</v>
      </c>
      <c r="E62" s="39" t="s">
        <v>139</v>
      </c>
      <c r="F62" s="220" t="s">
        <v>140</v>
      </c>
      <c r="G62" s="221" t="s">
        <v>141</v>
      </c>
      <c r="H62" s="222"/>
      <c r="I62" s="223">
        <f>M57*12/(M65)</f>
        <v>1.3519935000000001</v>
      </c>
      <c r="K62" s="224" t="s">
        <v>142</v>
      </c>
      <c r="L62" s="225"/>
      <c r="M62" s="226">
        <f>F71*F65/12</f>
        <v>200000</v>
      </c>
      <c r="N62" s="227" t="s">
        <v>143</v>
      </c>
      <c r="O62" s="228"/>
      <c r="P62" s="229"/>
      <c r="Q62" s="230" t="s">
        <v>144</v>
      </c>
      <c r="R62" s="231"/>
      <c r="S62" s="230" t="s">
        <v>145</v>
      </c>
      <c r="T62" s="231"/>
    </row>
    <row r="63" spans="3:20" x14ac:dyDescent="0.2">
      <c r="C63" s="1" t="s">
        <v>146</v>
      </c>
      <c r="E63" s="1" t="s">
        <v>147</v>
      </c>
      <c r="F63" s="232">
        <v>44420</v>
      </c>
      <c r="G63" s="233" t="s">
        <v>148</v>
      </c>
      <c r="H63" s="36"/>
      <c r="I63" s="234">
        <f>O57*6/M65</f>
        <v>1.3519935000000001</v>
      </c>
      <c r="K63" s="224" t="s">
        <v>149</v>
      </c>
      <c r="L63" s="225"/>
      <c r="M63" s="226">
        <f>-PMT(F71/12,25*12,F65)-M62</f>
        <v>57720.560594203445</v>
      </c>
      <c r="N63" s="221" t="s">
        <v>150</v>
      </c>
      <c r="O63" s="222"/>
      <c r="P63" s="235">
        <v>5.2499999999999998E-2</v>
      </c>
      <c r="Q63" s="66" t="s">
        <v>151</v>
      </c>
      <c r="R63" s="236">
        <f>P73*P63/12</f>
        <v>175759.15500000003</v>
      </c>
      <c r="S63" s="237" t="s">
        <v>152</v>
      </c>
      <c r="T63" s="238"/>
    </row>
    <row r="64" spans="3:20" x14ac:dyDescent="0.2">
      <c r="C64" s="1" t="s">
        <v>153</v>
      </c>
      <c r="E64" s="1" t="s">
        <v>154</v>
      </c>
      <c r="F64" s="220" t="s">
        <v>155</v>
      </c>
      <c r="G64" s="239" t="s">
        <v>156</v>
      </c>
      <c r="H64" s="34"/>
      <c r="I64" s="240">
        <f>M57*12/F65</f>
        <v>8.1119610000000009E-2</v>
      </c>
      <c r="K64" s="39" t="s">
        <v>157</v>
      </c>
      <c r="M64" s="226">
        <f>M62+M63</f>
        <v>257720.56059420345</v>
      </c>
      <c r="N64" s="233" t="s">
        <v>158</v>
      </c>
      <c r="O64" s="36"/>
      <c r="P64" s="241">
        <v>7</v>
      </c>
      <c r="Q64" s="1" t="s">
        <v>159</v>
      </c>
      <c r="R64" s="122">
        <f>-PMT(P63/12,P66*12,P73)</f>
        <v>240738.90755242086</v>
      </c>
      <c r="S64" s="242"/>
      <c r="T64" s="243"/>
    </row>
    <row r="65" spans="3:26" x14ac:dyDescent="0.2">
      <c r="C65" s="1" t="s">
        <v>160</v>
      </c>
      <c r="E65" s="39" t="s">
        <v>161</v>
      </c>
      <c r="F65" s="244">
        <v>40000000</v>
      </c>
      <c r="G65" s="239" t="s">
        <v>162</v>
      </c>
      <c r="I65" s="240">
        <f>O57*6/F65</f>
        <v>8.1119610000000009E-2</v>
      </c>
      <c r="K65" s="39" t="s">
        <v>163</v>
      </c>
      <c r="M65" s="226">
        <f>F71*F65</f>
        <v>2400000</v>
      </c>
      <c r="N65" s="36" t="s">
        <v>164</v>
      </c>
      <c r="O65" s="36"/>
      <c r="P65" s="241">
        <v>5</v>
      </c>
      <c r="Q65" s="1" t="s">
        <v>165</v>
      </c>
      <c r="R65" s="122">
        <f>M62-R63</f>
        <v>24240.844999999972</v>
      </c>
      <c r="S65" s="242"/>
      <c r="T65" s="243"/>
    </row>
    <row r="66" spans="3:26" x14ac:dyDescent="0.2">
      <c r="E66" s="39" t="s">
        <v>166</v>
      </c>
      <c r="F66" s="244">
        <f ca="1">F65-M63*(TODAY()-F73)/30</f>
        <v>39674840.841985986</v>
      </c>
      <c r="G66" s="233" t="s">
        <v>167</v>
      </c>
      <c r="H66" s="36"/>
      <c r="I66" s="240">
        <f ca="1">F66/M73</f>
        <v>0.64193144672547864</v>
      </c>
      <c r="K66" s="39" t="s">
        <v>168</v>
      </c>
      <c r="M66" s="226">
        <f>M63*2</f>
        <v>115441.12118840689</v>
      </c>
      <c r="N66" s="233" t="s">
        <v>169</v>
      </c>
      <c r="O66" s="36"/>
      <c r="P66" s="245">
        <v>25</v>
      </c>
      <c r="Q66" s="1" t="s">
        <v>170</v>
      </c>
      <c r="R66" s="122">
        <f>R65*12</f>
        <v>290890.13999999966</v>
      </c>
      <c r="S66" s="246"/>
      <c r="T66" s="247"/>
    </row>
    <row r="67" spans="3:26" x14ac:dyDescent="0.2">
      <c r="E67" s="39" t="s">
        <v>171</v>
      </c>
      <c r="F67" s="248" t="s">
        <v>172</v>
      </c>
      <c r="G67" s="211" t="s">
        <v>173</v>
      </c>
      <c r="H67" s="216"/>
      <c r="I67" s="212"/>
      <c r="K67" s="39" t="s">
        <v>174</v>
      </c>
      <c r="M67" s="226">
        <f ca="1">F65-F66</f>
        <v>325159.15801401436</v>
      </c>
      <c r="N67" s="239" t="s">
        <v>175</v>
      </c>
      <c r="O67" s="34"/>
      <c r="P67" s="249">
        <v>7.4999999999999997E-3</v>
      </c>
      <c r="Q67" s="1" t="s">
        <v>176</v>
      </c>
      <c r="R67" s="122">
        <f ca="1">P73*(1-(P67+P68))-F66</f>
        <v>-3488.7134145498276</v>
      </c>
      <c r="S67" s="250" t="s">
        <v>177</v>
      </c>
      <c r="T67" s="251"/>
    </row>
    <row r="68" spans="3:26" x14ac:dyDescent="0.2">
      <c r="E68" s="39" t="s">
        <v>178</v>
      </c>
      <c r="F68" s="248" t="s">
        <v>179</v>
      </c>
      <c r="G68" s="239" t="s">
        <v>180</v>
      </c>
      <c r="I68" s="252">
        <f ca="1">F72-TODAY()</f>
        <v>927</v>
      </c>
      <c r="K68" s="253" t="s">
        <v>181</v>
      </c>
      <c r="L68" s="254"/>
      <c r="M68" s="254"/>
      <c r="N68" s="39" t="s">
        <v>182</v>
      </c>
      <c r="P68" s="249">
        <v>5.0000000000000001E-3</v>
      </c>
      <c r="Q68" s="1" t="s">
        <v>183</v>
      </c>
      <c r="R68" s="234">
        <f>(P67+P68)*P73/R65</f>
        <v>20.715821345572522</v>
      </c>
      <c r="S68" s="255" t="s">
        <v>184</v>
      </c>
    </row>
    <row r="69" spans="3:26" x14ac:dyDescent="0.2">
      <c r="E69" s="39" t="s">
        <v>185</v>
      </c>
      <c r="F69" s="256">
        <v>0.04</v>
      </c>
      <c r="G69" s="239" t="s">
        <v>186</v>
      </c>
      <c r="I69" s="252">
        <f ca="1">F73-TODAY()</f>
        <v>-169</v>
      </c>
      <c r="K69" s="239" t="s">
        <v>187</v>
      </c>
      <c r="L69" s="34"/>
      <c r="M69" s="257">
        <v>14000</v>
      </c>
      <c r="N69" s="233" t="s">
        <v>188</v>
      </c>
      <c r="O69" s="36"/>
      <c r="P69" s="249">
        <v>0.65</v>
      </c>
      <c r="Q69" s="258" t="s">
        <v>189</v>
      </c>
      <c r="R69" s="259">
        <f>P63+(P67+P68)/P64</f>
        <v>5.4285714285714284E-2</v>
      </c>
      <c r="S69" s="255" t="s">
        <v>190</v>
      </c>
    </row>
    <row r="70" spans="3:26" x14ac:dyDescent="0.2">
      <c r="E70" s="39" t="s">
        <v>191</v>
      </c>
      <c r="F70" s="256">
        <v>0.02</v>
      </c>
      <c r="G70" s="239" t="s">
        <v>192</v>
      </c>
      <c r="H70" s="34"/>
      <c r="I70" s="260">
        <v>1.25</v>
      </c>
      <c r="K70" s="239" t="s">
        <v>193</v>
      </c>
      <c r="L70" s="34"/>
      <c r="M70" s="257">
        <v>350000</v>
      </c>
      <c r="N70" s="239" t="s">
        <v>194</v>
      </c>
      <c r="O70" s="34"/>
      <c r="P70" s="245">
        <v>1.25</v>
      </c>
      <c r="S70" s="255" t="s">
        <v>195</v>
      </c>
    </row>
    <row r="71" spans="3:26" x14ac:dyDescent="0.2">
      <c r="E71" s="39" t="s">
        <v>196</v>
      </c>
      <c r="F71" s="261">
        <f>F69+F70</f>
        <v>0.06</v>
      </c>
      <c r="G71" s="239" t="s">
        <v>197</v>
      </c>
      <c r="I71" s="240">
        <f>I62/I70</f>
        <v>1.0815948</v>
      </c>
      <c r="K71" s="262" t="s">
        <v>198</v>
      </c>
      <c r="L71" s="263"/>
      <c r="M71" s="264">
        <v>45000</v>
      </c>
      <c r="N71" s="39" t="s">
        <v>199</v>
      </c>
      <c r="P71" s="265">
        <f>M57*12/P70/P63</f>
        <v>49444333.714285724</v>
      </c>
      <c r="S71" s="255" t="s">
        <v>200</v>
      </c>
    </row>
    <row r="72" spans="3:26" x14ac:dyDescent="0.2">
      <c r="E72" s="39" t="s">
        <v>201</v>
      </c>
      <c r="F72" s="266">
        <v>46977</v>
      </c>
      <c r="G72" s="239" t="s">
        <v>202</v>
      </c>
      <c r="H72" s="34"/>
      <c r="I72" s="267">
        <v>7.0000000000000007E-2</v>
      </c>
      <c r="K72" s="268" t="s">
        <v>203</v>
      </c>
      <c r="L72" s="66"/>
      <c r="M72" s="235">
        <v>5.2499999999999998E-2</v>
      </c>
      <c r="N72" s="269" t="s">
        <v>204</v>
      </c>
      <c r="O72" s="270"/>
      <c r="P72" s="265">
        <f>P69*M57*12/5.25%</f>
        <v>40173521.142857149</v>
      </c>
    </row>
    <row r="73" spans="3:26" x14ac:dyDescent="0.2">
      <c r="E73" s="262" t="s">
        <v>205</v>
      </c>
      <c r="F73" s="271">
        <v>45881</v>
      </c>
      <c r="G73" s="272" t="s">
        <v>206</v>
      </c>
      <c r="H73" s="263"/>
      <c r="I73" s="273">
        <f>I64/I72</f>
        <v>1.1588515714285714</v>
      </c>
      <c r="K73" s="272" t="s">
        <v>207</v>
      </c>
      <c r="L73" s="258"/>
      <c r="M73" s="274">
        <f>M57*12/M72</f>
        <v>61805417.142857149</v>
      </c>
      <c r="N73" s="275" t="s">
        <v>208</v>
      </c>
      <c r="O73" s="276"/>
      <c r="P73" s="277">
        <f>MIN((M57*12/P70/P63),(P69*M57*12/5.25%))</f>
        <v>40173521.142857149</v>
      </c>
    </row>
    <row r="74" spans="3:26" ht="5" customHeight="1" x14ac:dyDescent="0.2">
      <c r="C74" s="1" t="s">
        <v>209</v>
      </c>
    </row>
    <row r="75" spans="3:26" x14ac:dyDescent="0.2">
      <c r="E75" s="208" t="s">
        <v>210</v>
      </c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10"/>
    </row>
    <row r="76" spans="3:26" ht="5" customHeight="1" x14ac:dyDescent="0.2">
      <c r="E76" s="278"/>
      <c r="F76" s="278"/>
      <c r="G76" s="278"/>
      <c r="H76" s="278"/>
      <c r="I76" s="279"/>
      <c r="J76" s="279"/>
      <c r="K76" s="278"/>
      <c r="L76" s="278"/>
      <c r="M76" s="278"/>
      <c r="N76" s="278"/>
      <c r="O76" s="278"/>
      <c r="P76" s="278"/>
      <c r="Q76" s="279"/>
      <c r="R76" s="279"/>
      <c r="Z76" s="1" t="s">
        <v>211</v>
      </c>
    </row>
    <row r="77" spans="3:26" x14ac:dyDescent="0.2">
      <c r="E77" s="280" t="s">
        <v>212</v>
      </c>
      <c r="F77" s="281" t="s">
        <v>213</v>
      </c>
      <c r="G77" s="282" t="s">
        <v>6</v>
      </c>
      <c r="H77" s="283">
        <v>2025</v>
      </c>
      <c r="K77" s="284" t="s">
        <v>214</v>
      </c>
      <c r="L77" s="285"/>
      <c r="M77" s="286"/>
      <c r="N77" s="281" t="s">
        <v>213</v>
      </c>
      <c r="O77" s="282" t="s">
        <v>6</v>
      </c>
      <c r="P77" s="283">
        <v>2025</v>
      </c>
    </row>
    <row r="78" spans="3:26" x14ac:dyDescent="0.2">
      <c r="C78" s="1" t="s">
        <v>215</v>
      </c>
      <c r="E78" s="287" t="s">
        <v>216</v>
      </c>
      <c r="F78" s="288">
        <v>2050</v>
      </c>
      <c r="G78" s="289">
        <v>2048</v>
      </c>
      <c r="H78" s="290">
        <v>2030</v>
      </c>
      <c r="K78" s="221" t="s">
        <v>217</v>
      </c>
      <c r="L78" s="222"/>
      <c r="M78" s="291"/>
      <c r="N78" s="288">
        <v>750</v>
      </c>
      <c r="O78" s="289">
        <v>780</v>
      </c>
      <c r="P78" s="290">
        <v>830</v>
      </c>
    </row>
    <row r="79" spans="3:26" x14ac:dyDescent="0.2">
      <c r="C79" s="1" t="s">
        <v>215</v>
      </c>
      <c r="E79" s="292" t="s">
        <v>218</v>
      </c>
      <c r="F79" s="288">
        <f>F55/L16</f>
        <v>2218.5500000000002</v>
      </c>
      <c r="G79" s="289">
        <f t="shared" ref="G79:H85" si="5">F79*0.99</f>
        <v>2196.3645000000001</v>
      </c>
      <c r="H79" s="290">
        <f t="shared" si="5"/>
        <v>2174.4008550000003</v>
      </c>
      <c r="K79" s="233" t="s">
        <v>219</v>
      </c>
      <c r="L79" s="36"/>
      <c r="M79" s="293"/>
      <c r="N79" s="294">
        <v>35</v>
      </c>
      <c r="O79" s="295">
        <v>32</v>
      </c>
      <c r="P79" s="296">
        <v>38</v>
      </c>
    </row>
    <row r="80" spans="3:26" x14ac:dyDescent="0.2">
      <c r="E80" s="292" t="s">
        <v>220</v>
      </c>
      <c r="F80" s="297">
        <f>(P32+P39)/2</f>
        <v>4.7706422018348515E-2</v>
      </c>
      <c r="G80" s="298">
        <f t="shared" si="5"/>
        <v>4.7229357798165027E-2</v>
      </c>
      <c r="H80" s="299">
        <f t="shared" si="5"/>
        <v>4.6757064220183379E-2</v>
      </c>
      <c r="K80" s="39" t="s">
        <v>221</v>
      </c>
      <c r="M80" s="116"/>
      <c r="N80" s="300">
        <v>0.5</v>
      </c>
      <c r="O80" s="301">
        <v>0.55000000000000004</v>
      </c>
      <c r="P80" s="302">
        <v>0.45</v>
      </c>
      <c r="Z80" s="1" t="s">
        <v>222</v>
      </c>
    </row>
    <row r="81" spans="3:26" x14ac:dyDescent="0.2">
      <c r="E81" s="292" t="s">
        <v>223</v>
      </c>
      <c r="F81" s="297">
        <f>F80/5%</f>
        <v>0.95412844036697031</v>
      </c>
      <c r="G81" s="298">
        <f t="shared" si="5"/>
        <v>0.94458715596330056</v>
      </c>
      <c r="H81" s="299">
        <f t="shared" si="5"/>
        <v>0.93514128440366751</v>
      </c>
      <c r="K81" s="233" t="s">
        <v>224</v>
      </c>
      <c r="L81" s="36"/>
      <c r="M81" s="293"/>
      <c r="N81" s="300">
        <v>0.85</v>
      </c>
      <c r="O81" s="301">
        <v>0.9</v>
      </c>
      <c r="P81" s="302">
        <v>0.82</v>
      </c>
    </row>
    <row r="82" spans="3:26" x14ac:dyDescent="0.2">
      <c r="E82" s="292" t="s">
        <v>225</v>
      </c>
      <c r="F82" s="297">
        <f>F46/F45</f>
        <v>-4.0568181818181816E-2</v>
      </c>
      <c r="G82" s="298">
        <f t="shared" si="5"/>
        <v>-4.0162499999999997E-2</v>
      </c>
      <c r="H82" s="299">
        <f t="shared" si="5"/>
        <v>-3.9760874999999994E-2</v>
      </c>
      <c r="K82" s="239" t="s">
        <v>226</v>
      </c>
      <c r="L82" s="34"/>
      <c r="M82" s="303"/>
      <c r="N82" s="294">
        <v>14</v>
      </c>
      <c r="O82" s="295">
        <v>12</v>
      </c>
      <c r="P82" s="296">
        <v>11</v>
      </c>
      <c r="Z82" s="1" t="s">
        <v>227</v>
      </c>
    </row>
    <row r="83" spans="3:26" x14ac:dyDescent="0.2">
      <c r="E83" s="292" t="s">
        <v>228</v>
      </c>
      <c r="F83" s="297">
        <f>F49/(F47+F48+F50)</f>
        <v>-6.1093326165049732E-3</v>
      </c>
      <c r="G83" s="298">
        <f t="shared" si="5"/>
        <v>-6.0482392903399235E-3</v>
      </c>
      <c r="H83" s="299">
        <f t="shared" si="5"/>
        <v>-5.9877568974365239E-3</v>
      </c>
      <c r="K83" s="262" t="s">
        <v>229</v>
      </c>
      <c r="L83" s="263"/>
      <c r="M83" s="304"/>
      <c r="N83" s="305">
        <v>0.25</v>
      </c>
      <c r="O83" s="306">
        <v>0.22</v>
      </c>
      <c r="P83" s="307">
        <v>0.33</v>
      </c>
    </row>
    <row r="84" spans="3:26" x14ac:dyDescent="0.2">
      <c r="C84" s="1" t="s">
        <v>230</v>
      </c>
      <c r="E84" s="292" t="s">
        <v>231</v>
      </c>
      <c r="F84" s="297">
        <f>F51/(F47+F48+F49+F50)</f>
        <v>-6.1468859875587027E-3</v>
      </c>
      <c r="G84" s="298">
        <f t="shared" si="5"/>
        <v>-6.0854171276831159E-3</v>
      </c>
      <c r="H84" s="299">
        <f t="shared" si="5"/>
        <v>-6.0245629564062847E-3</v>
      </c>
    </row>
    <row r="85" spans="3:26" x14ac:dyDescent="0.2">
      <c r="E85" s="308" t="s">
        <v>232</v>
      </c>
      <c r="F85" s="309">
        <f>SUM(F47:F52)/F47</f>
        <v>0.95631884401279166</v>
      </c>
      <c r="G85" s="310">
        <f t="shared" si="5"/>
        <v>0.94675565557266372</v>
      </c>
      <c r="H85" s="311">
        <f t="shared" si="5"/>
        <v>0.9372880990169371</v>
      </c>
      <c r="K85" s="312" t="s">
        <v>233</v>
      </c>
      <c r="L85" s="313"/>
      <c r="M85" s="314"/>
      <c r="N85" s="281" t="s">
        <v>213</v>
      </c>
      <c r="O85" s="282" t="s">
        <v>6</v>
      </c>
      <c r="P85" s="283">
        <v>2025</v>
      </c>
    </row>
    <row r="86" spans="3:26" x14ac:dyDescent="0.2">
      <c r="K86" s="39" t="s">
        <v>234</v>
      </c>
      <c r="M86" s="116"/>
      <c r="N86" s="315">
        <v>15.5</v>
      </c>
      <c r="O86" s="316">
        <v>14.8</v>
      </c>
      <c r="P86" s="317">
        <v>16</v>
      </c>
    </row>
    <row r="87" spans="3:26" x14ac:dyDescent="0.2">
      <c r="C87" s="1" t="s">
        <v>235</v>
      </c>
      <c r="E87" s="318" t="s">
        <v>236</v>
      </c>
      <c r="F87" s="281" t="s">
        <v>213</v>
      </c>
      <c r="G87" s="282" t="s">
        <v>6</v>
      </c>
      <c r="H87" s="283">
        <v>2025</v>
      </c>
      <c r="K87" s="39" t="s">
        <v>237</v>
      </c>
      <c r="M87" s="116"/>
      <c r="N87" s="315">
        <v>75</v>
      </c>
      <c r="O87" s="316">
        <v>72</v>
      </c>
      <c r="P87" s="317">
        <v>65</v>
      </c>
    </row>
    <row r="88" spans="3:26" ht="16" x14ac:dyDescent="0.2">
      <c r="E88" s="268" t="s">
        <v>238</v>
      </c>
      <c r="F88" s="319">
        <f>-M55/L16*12</f>
        <v>10398.678</v>
      </c>
      <c r="G88" s="320">
        <f>-O55/L16*12/2</f>
        <v>10398.678</v>
      </c>
      <c r="H88" s="321">
        <v>10200</v>
      </c>
      <c r="K88" s="272" t="s">
        <v>239</v>
      </c>
      <c r="L88" s="258"/>
      <c r="M88" s="322"/>
      <c r="N88" s="323">
        <v>75</v>
      </c>
      <c r="O88" s="324">
        <v>72</v>
      </c>
      <c r="P88" s="325">
        <v>70</v>
      </c>
      <c r="Q88" s="326"/>
    </row>
    <row r="89" spans="3:26" x14ac:dyDescent="0.2">
      <c r="E89" s="39" t="s">
        <v>240</v>
      </c>
      <c r="F89" s="288">
        <f>-SUM(M45:M50)/L$16*12</f>
        <v>4800</v>
      </c>
      <c r="G89" s="289">
        <f>-SUM(O45:O50)/L$16*12/2</f>
        <v>4800</v>
      </c>
      <c r="H89" s="290">
        <v>4700</v>
      </c>
    </row>
    <row r="90" spans="3:26" x14ac:dyDescent="0.2">
      <c r="E90" s="272" t="s">
        <v>241</v>
      </c>
      <c r="F90" s="327">
        <f>-SUM(M51:M54)/L16*12</f>
        <v>5598.6779999999999</v>
      </c>
      <c r="G90" s="328">
        <f>-SUM(O51:O54)/L16*12/2</f>
        <v>5598.6779999999999</v>
      </c>
      <c r="H90" s="329">
        <v>5650</v>
      </c>
      <c r="K90" s="312" t="s">
        <v>242</v>
      </c>
      <c r="L90" s="313"/>
      <c r="M90" s="314"/>
      <c r="N90" s="281" t="s">
        <v>213</v>
      </c>
      <c r="O90" s="282" t="s">
        <v>6</v>
      </c>
      <c r="P90" s="283">
        <v>2025</v>
      </c>
    </row>
    <row r="91" spans="3:26" x14ac:dyDescent="0.2">
      <c r="K91" s="39" t="s">
        <v>243</v>
      </c>
      <c r="M91" s="116"/>
      <c r="N91" s="315">
        <v>22</v>
      </c>
      <c r="O91" s="316">
        <v>23</v>
      </c>
      <c r="P91" s="317">
        <v>25</v>
      </c>
    </row>
    <row r="92" spans="3:26" x14ac:dyDescent="0.2">
      <c r="E92" s="330" t="s">
        <v>244</v>
      </c>
      <c r="F92" s="331" t="s">
        <v>213</v>
      </c>
      <c r="G92" s="331" t="s">
        <v>6</v>
      </c>
      <c r="H92" s="332">
        <v>2025</v>
      </c>
      <c r="K92" s="39" t="s">
        <v>245</v>
      </c>
      <c r="M92" s="116"/>
      <c r="N92" s="333">
        <v>850</v>
      </c>
      <c r="O92" s="334">
        <v>750</v>
      </c>
      <c r="P92" s="335">
        <v>780</v>
      </c>
    </row>
    <row r="93" spans="3:26" x14ac:dyDescent="0.2">
      <c r="E93" s="292" t="s">
        <v>246</v>
      </c>
      <c r="F93" s="319">
        <v>24000</v>
      </c>
      <c r="G93" s="320">
        <v>40000</v>
      </c>
      <c r="H93" s="321">
        <v>69000</v>
      </c>
      <c r="K93" s="272" t="s">
        <v>247</v>
      </c>
      <c r="L93" s="258"/>
      <c r="M93" s="322"/>
      <c r="N93" s="305">
        <v>0.12</v>
      </c>
      <c r="O93" s="306">
        <v>0.15</v>
      </c>
      <c r="P93" s="307">
        <v>0.14000000000000001</v>
      </c>
    </row>
    <row r="94" spans="3:26" x14ac:dyDescent="0.2">
      <c r="E94" s="292" t="s">
        <v>248</v>
      </c>
      <c r="F94" s="288">
        <v>140000</v>
      </c>
      <c r="G94" s="289">
        <v>138000</v>
      </c>
      <c r="H94" s="290">
        <v>135000</v>
      </c>
    </row>
    <row r="95" spans="3:26" x14ac:dyDescent="0.2">
      <c r="E95" s="292" t="s">
        <v>249</v>
      </c>
      <c r="F95" s="336">
        <v>1.1000000000000001</v>
      </c>
      <c r="G95" s="337">
        <v>1.05</v>
      </c>
      <c r="H95" s="338">
        <v>1.02</v>
      </c>
      <c r="R95" s="15" t="s">
        <v>250</v>
      </c>
    </row>
    <row r="96" spans="3:26" x14ac:dyDescent="0.2">
      <c r="E96" s="292" t="s">
        <v>251</v>
      </c>
      <c r="F96" s="288">
        <v>12000</v>
      </c>
      <c r="G96" s="289">
        <v>22000</v>
      </c>
      <c r="H96" s="290">
        <v>250000</v>
      </c>
      <c r="R96" s="1" t="s">
        <v>252</v>
      </c>
    </row>
    <row r="97" spans="5:18" x14ac:dyDescent="0.2">
      <c r="E97" s="339" t="s">
        <v>253</v>
      </c>
      <c r="F97" s="340">
        <f>M57-F93-F94-F96</f>
        <v>94398.700000000012</v>
      </c>
      <c r="G97" s="341">
        <f>N57-G93-G94-G96</f>
        <v>81425</v>
      </c>
      <c r="H97" s="342">
        <f>O57-H93-H94-H96</f>
        <v>86797.400000000023</v>
      </c>
      <c r="R97" s="1" t="s">
        <v>254</v>
      </c>
    </row>
    <row r="98" spans="5:18" x14ac:dyDescent="0.2">
      <c r="E98" s="343" t="s">
        <v>255</v>
      </c>
      <c r="F98" s="344">
        <f>F97*12/15000000</f>
        <v>7.551896000000001E-2</v>
      </c>
      <c r="G98" s="345">
        <f>G97*12/15000000</f>
        <v>6.5140000000000003E-2</v>
      </c>
      <c r="H98" s="346">
        <f>H97*12/15000000</f>
        <v>6.9437920000000014E-2</v>
      </c>
      <c r="R98" s="1" t="s">
        <v>256</v>
      </c>
    </row>
    <row r="99" spans="5:18" x14ac:dyDescent="0.2">
      <c r="R99" s="1" t="s">
        <v>257</v>
      </c>
    </row>
    <row r="100" spans="5:18" x14ac:dyDescent="0.2">
      <c r="R100" s="1" t="s">
        <v>258</v>
      </c>
    </row>
    <row r="112" spans="5:18" x14ac:dyDescent="0.2">
      <c r="E112" s="276" t="s">
        <v>259</v>
      </c>
      <c r="K112" s="15" t="s">
        <v>260</v>
      </c>
    </row>
    <row r="113" spans="5:11" x14ac:dyDescent="0.2">
      <c r="E113" s="347" t="s">
        <v>261</v>
      </c>
      <c r="K113" s="34" t="s">
        <v>262</v>
      </c>
    </row>
    <row r="114" spans="5:11" x14ac:dyDescent="0.2">
      <c r="E114" s="347" t="s">
        <v>263</v>
      </c>
      <c r="K114" s="1" t="s">
        <v>264</v>
      </c>
    </row>
    <row r="115" spans="5:11" x14ac:dyDescent="0.2">
      <c r="K115" s="1" t="s">
        <v>265</v>
      </c>
    </row>
    <row r="116" spans="5:11" x14ac:dyDescent="0.2">
      <c r="E116" s="276" t="s">
        <v>266</v>
      </c>
      <c r="K116" s="1" t="s">
        <v>267</v>
      </c>
    </row>
    <row r="117" spans="5:11" x14ac:dyDescent="0.2">
      <c r="E117" s="347" t="s">
        <v>268</v>
      </c>
    </row>
    <row r="118" spans="5:11" x14ac:dyDescent="0.2">
      <c r="E118" s="347" t="s">
        <v>269</v>
      </c>
      <c r="K118" s="15" t="s">
        <v>270</v>
      </c>
    </row>
    <row r="119" spans="5:11" x14ac:dyDescent="0.2">
      <c r="E119" s="347" t="s">
        <v>271</v>
      </c>
      <c r="K119" s="1" t="s">
        <v>272</v>
      </c>
    </row>
    <row r="120" spans="5:11" x14ac:dyDescent="0.2">
      <c r="E120" s="347" t="s">
        <v>273</v>
      </c>
      <c r="K120" s="1" t="s">
        <v>274</v>
      </c>
    </row>
    <row r="121" spans="5:11" x14ac:dyDescent="0.2">
      <c r="K121" s="1" t="s">
        <v>275</v>
      </c>
    </row>
    <row r="122" spans="5:11" x14ac:dyDescent="0.2">
      <c r="E122" s="1" t="s">
        <v>276</v>
      </c>
      <c r="K122" s="1" t="s">
        <v>277</v>
      </c>
    </row>
    <row r="123" spans="5:11" x14ac:dyDescent="0.2">
      <c r="E123" s="1" t="s">
        <v>172</v>
      </c>
      <c r="K123" s="1" t="s">
        <v>278</v>
      </c>
    </row>
    <row r="124" spans="5:11" x14ac:dyDescent="0.2">
      <c r="E124" s="1" t="s">
        <v>279</v>
      </c>
      <c r="K124" s="1" t="s">
        <v>280</v>
      </c>
    </row>
    <row r="125" spans="5:11" x14ac:dyDescent="0.2">
      <c r="E125" s="1" t="s">
        <v>281</v>
      </c>
      <c r="K125" s="1" t="s">
        <v>282</v>
      </c>
    </row>
    <row r="126" spans="5:11" x14ac:dyDescent="0.2">
      <c r="E126" s="1" t="s">
        <v>283</v>
      </c>
    </row>
    <row r="127" spans="5:11" x14ac:dyDescent="0.2">
      <c r="E127" s="1" t="s">
        <v>179</v>
      </c>
      <c r="K127" s="15" t="s">
        <v>284</v>
      </c>
    </row>
    <row r="128" spans="5:11" x14ac:dyDescent="0.2">
      <c r="E128" s="1" t="s">
        <v>285</v>
      </c>
      <c r="K128" s="1" t="s">
        <v>286</v>
      </c>
    </row>
    <row r="129" spans="5:11" x14ac:dyDescent="0.2">
      <c r="E129" s="1" t="s">
        <v>287</v>
      </c>
      <c r="K129" s="1" t="s">
        <v>288</v>
      </c>
    </row>
    <row r="130" spans="5:11" x14ac:dyDescent="0.2">
      <c r="E130" s="1" t="s">
        <v>289</v>
      </c>
      <c r="K130" s="1" t="s">
        <v>290</v>
      </c>
    </row>
    <row r="131" spans="5:11" x14ac:dyDescent="0.2">
      <c r="E131" s="1" t="s">
        <v>291</v>
      </c>
      <c r="K131" s="1" t="s">
        <v>292</v>
      </c>
    </row>
    <row r="132" spans="5:11" x14ac:dyDescent="0.2">
      <c r="K132" s="1" t="s">
        <v>293</v>
      </c>
    </row>
    <row r="156" spans="5:5" x14ac:dyDescent="0.2">
      <c r="E156"/>
    </row>
    <row r="177" spans="5:5" x14ac:dyDescent="0.2">
      <c r="E177"/>
    </row>
    <row r="178" spans="5:5" ht="13" customHeight="1" x14ac:dyDescent="0.25">
      <c r="E178" s="348"/>
    </row>
    <row r="179" spans="5:5" x14ac:dyDescent="0.2">
      <c r="E179"/>
    </row>
    <row r="180" spans="5:5" x14ac:dyDescent="0.2">
      <c r="E180"/>
    </row>
    <row r="181" spans="5:5" x14ac:dyDescent="0.2">
      <c r="E181"/>
    </row>
    <row r="182" spans="5:5" x14ac:dyDescent="0.2">
      <c r="E182" s="349"/>
    </row>
    <row r="183" spans="5:5" x14ac:dyDescent="0.2">
      <c r="E183"/>
    </row>
    <row r="185" spans="5:5" x14ac:dyDescent="0.2">
      <c r="E185"/>
    </row>
    <row r="186" spans="5:5" x14ac:dyDescent="0.2">
      <c r="E186" s="349"/>
    </row>
    <row r="189" spans="5:5" x14ac:dyDescent="0.2">
      <c r="E189"/>
    </row>
    <row r="190" spans="5:5" x14ac:dyDescent="0.2">
      <c r="E190" s="349"/>
    </row>
    <row r="191" spans="5:5" x14ac:dyDescent="0.2">
      <c r="E191"/>
    </row>
    <row r="195" spans="5:5" x14ac:dyDescent="0.2">
      <c r="E195" s="349"/>
    </row>
    <row r="196" spans="5:5" x14ac:dyDescent="0.2">
      <c r="E196"/>
    </row>
    <row r="197" spans="5:5" x14ac:dyDescent="0.2">
      <c r="E197"/>
    </row>
    <row r="198" spans="5:5" x14ac:dyDescent="0.2">
      <c r="E198"/>
    </row>
    <row r="199" spans="5:5" x14ac:dyDescent="0.2">
      <c r="E199"/>
    </row>
    <row r="200" spans="5:5" ht="23" x14ac:dyDescent="0.25">
      <c r="E200" s="348"/>
    </row>
    <row r="201" spans="5:5" x14ac:dyDescent="0.2">
      <c r="E201"/>
    </row>
    <row r="202" spans="5:5" x14ac:dyDescent="0.2">
      <c r="E202"/>
    </row>
    <row r="203" spans="5:5" x14ac:dyDescent="0.2">
      <c r="E203"/>
    </row>
    <row r="209" spans="5:5" x14ac:dyDescent="0.2">
      <c r="E209"/>
    </row>
    <row r="210" spans="5:5" ht="12" customHeight="1" x14ac:dyDescent="0.25">
      <c r="E210" s="348"/>
    </row>
    <row r="211" spans="5:5" x14ac:dyDescent="0.2">
      <c r="E211"/>
    </row>
    <row r="212" spans="5:5" x14ac:dyDescent="0.2">
      <c r="E212" s="349"/>
    </row>
    <row r="213" spans="5:5" x14ac:dyDescent="0.2">
      <c r="E213" s="349"/>
    </row>
    <row r="214" spans="5:5" x14ac:dyDescent="0.2">
      <c r="E214" s="349"/>
    </row>
    <row r="215" spans="5:5" x14ac:dyDescent="0.2">
      <c r="E215" s="349"/>
    </row>
    <row r="216" spans="5:5" x14ac:dyDescent="0.2">
      <c r="E216" s="349"/>
    </row>
    <row r="217" spans="5:5" x14ac:dyDescent="0.2">
      <c r="E217" s="349"/>
    </row>
  </sheetData>
  <mergeCells count="81">
    <mergeCell ref="K78:M78"/>
    <mergeCell ref="K79:M79"/>
    <mergeCell ref="K81:M81"/>
    <mergeCell ref="G66:H66"/>
    <mergeCell ref="N66:O66"/>
    <mergeCell ref="G67:I67"/>
    <mergeCell ref="N69:O69"/>
    <mergeCell ref="E75:R75"/>
    <mergeCell ref="K77:M77"/>
    <mergeCell ref="G62:H62"/>
    <mergeCell ref="K62:L62"/>
    <mergeCell ref="Q62:R62"/>
    <mergeCell ref="S62:T62"/>
    <mergeCell ref="G63:H63"/>
    <mergeCell ref="K63:L63"/>
    <mergeCell ref="N63:O63"/>
    <mergeCell ref="S63:T66"/>
    <mergeCell ref="N64:O64"/>
    <mergeCell ref="N65:O65"/>
    <mergeCell ref="K51:L51"/>
    <mergeCell ref="K52:L52"/>
    <mergeCell ref="K53:L53"/>
    <mergeCell ref="K54:L54"/>
    <mergeCell ref="E59:R59"/>
    <mergeCell ref="E61:F61"/>
    <mergeCell ref="K61:M61"/>
    <mergeCell ref="N61:T61"/>
    <mergeCell ref="K45:L45"/>
    <mergeCell ref="K46:L46"/>
    <mergeCell ref="K47:L47"/>
    <mergeCell ref="K48:L48"/>
    <mergeCell ref="K49:L49"/>
    <mergeCell ref="K50:L50"/>
    <mergeCell ref="E41:R41"/>
    <mergeCell ref="E43:E44"/>
    <mergeCell ref="F43:G43"/>
    <mergeCell ref="H43:I43"/>
    <mergeCell ref="K43:L44"/>
    <mergeCell ref="M43:N43"/>
    <mergeCell ref="O43:P43"/>
    <mergeCell ref="Q43:R43"/>
    <mergeCell ref="E26:F26"/>
    <mergeCell ref="E27:F27"/>
    <mergeCell ref="E28:F28"/>
    <mergeCell ref="E29:F29"/>
    <mergeCell ref="E30:F30"/>
    <mergeCell ref="E32:I32"/>
    <mergeCell ref="E23:F23"/>
    <mergeCell ref="Q23:R23"/>
    <mergeCell ref="E24:F24"/>
    <mergeCell ref="Q24:R24"/>
    <mergeCell ref="E25:F25"/>
    <mergeCell ref="Q25:R25"/>
    <mergeCell ref="Q19:R19"/>
    <mergeCell ref="E20:F20"/>
    <mergeCell ref="Q20:R20"/>
    <mergeCell ref="E21:F21"/>
    <mergeCell ref="Q21:R21"/>
    <mergeCell ref="E22:F22"/>
    <mergeCell ref="Q22:R22"/>
    <mergeCell ref="E14:F14"/>
    <mergeCell ref="E15:F15"/>
    <mergeCell ref="E16:F16"/>
    <mergeCell ref="E17:F17"/>
    <mergeCell ref="E18:F18"/>
    <mergeCell ref="E19:F19"/>
    <mergeCell ref="E8:F8"/>
    <mergeCell ref="E9:F9"/>
    <mergeCell ref="E10:F10"/>
    <mergeCell ref="E11:F11"/>
    <mergeCell ref="E12:F12"/>
    <mergeCell ref="E13:F13"/>
    <mergeCell ref="E2:R2"/>
    <mergeCell ref="E4:I4"/>
    <mergeCell ref="K4:R4"/>
    <mergeCell ref="G6:G7"/>
    <mergeCell ref="H6:H7"/>
    <mergeCell ref="I6:I7"/>
    <mergeCell ref="K6:M6"/>
    <mergeCell ref="N6:O6"/>
    <mergeCell ref="P6:Q6"/>
  </mergeCells>
  <conditionalFormatting sqref="F45:F46 F48:F52">
    <cfRule type="expression" dxfId="7" priority="7" stopIfTrue="1">
      <formula>(F45-G45)/-G45&gt;$G$57</formula>
    </cfRule>
    <cfRule type="expression" dxfId="6" priority="8" stopIfTrue="1">
      <formula>((F45-G45)/G45)&gt;$I$57</formula>
    </cfRule>
  </conditionalFormatting>
  <conditionalFormatting sqref="H45:H46 H48:H52">
    <cfRule type="expression" dxfId="5" priority="5" stopIfTrue="1">
      <formula>(H45-I45)/-I45&gt;$G$57</formula>
    </cfRule>
    <cfRule type="expression" dxfId="4" priority="6" stopIfTrue="1">
      <formula>((H45-I45)/I45)&gt;$I$57</formula>
    </cfRule>
  </conditionalFormatting>
  <conditionalFormatting sqref="M45:M46 M48:M52">
    <cfRule type="expression" dxfId="3" priority="3" stopIfTrue="1">
      <formula>(M45-N45)/-N45&gt;$G$57</formula>
    </cfRule>
    <cfRule type="expression" dxfId="2" priority="4" stopIfTrue="1">
      <formula>((M45-N45)/N45)&gt;$I$57</formula>
    </cfRule>
  </conditionalFormatting>
  <conditionalFormatting sqref="O45:O46 O48:O52">
    <cfRule type="expression" dxfId="1" priority="1" stopIfTrue="1">
      <formula>(O45-P45)/-P45&gt;$G$57</formula>
    </cfRule>
    <cfRule type="expression" dxfId="0" priority="2" stopIfTrue="1">
      <formula>((O45-P45)/P45)&gt;$I$57</formula>
    </cfRule>
  </conditionalFormatting>
  <dataValidations count="2">
    <dataValidation type="list" allowBlank="1" showInputMessage="1" showErrorMessage="1" sqref="F68" xr:uid="{457B49AE-928F-F244-ACF1-CE8785A87082}">
      <formula1>$E$127:$E$131</formula1>
    </dataValidation>
    <dataValidation type="list" allowBlank="1" showInputMessage="1" showErrorMessage="1" sqref="F67" xr:uid="{29461091-F6D3-634E-B663-536D4B8C0C2A}">
      <formula1>$E$123:$E$124</formula1>
    </dataValidation>
  </dataValidations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NASA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2026-01-28T16:05:27Z</dcterms:created>
  <dcterms:modified xsi:type="dcterms:W3CDTF">2026-01-28T16:05:52Z</dcterms:modified>
</cp:coreProperties>
</file>